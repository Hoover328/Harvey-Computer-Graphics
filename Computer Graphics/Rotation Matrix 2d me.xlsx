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HarveySmith(T\Desktop\"/>
    </mc:Choice>
  </mc:AlternateContent>
  <xr:revisionPtr revIDLastSave="0" documentId="13_ncr:1_{E7972623-3B39-4FCE-89E8-5E35B896F261}" xr6:coauthVersionLast="47" xr6:coauthVersionMax="47" xr10:uidLastSave="{00000000-0000-0000-0000-000000000000}"/>
  <bookViews>
    <workbookView xWindow="-105" yWindow="0" windowWidth="14610" windowHeight="15585" xr2:uid="{EBF0BB9F-A49A-4220-9E77-7C7EB4418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5" i="1" l="1"/>
  <c r="N40" i="1" s="1"/>
  <c r="L46" i="1" s="1"/>
  <c r="G35" i="1"/>
  <c r="M40" i="1" s="1"/>
  <c r="K46" i="1" s="1"/>
  <c r="H21" i="1"/>
  <c r="H40" i="1"/>
  <c r="G21" i="1"/>
  <c r="G40" i="1"/>
  <c r="L44" i="1"/>
  <c r="M44" i="1"/>
  <c r="L45" i="1"/>
  <c r="M45" i="1"/>
  <c r="M46" i="1"/>
  <c r="K45" i="1"/>
  <c r="K44" i="1"/>
  <c r="G38" i="1"/>
  <c r="J38" i="1"/>
  <c r="M39" i="1"/>
  <c r="N39" i="1"/>
  <c r="O39" i="1"/>
  <c r="O40" i="1"/>
  <c r="N38" i="1"/>
  <c r="O38" i="1"/>
  <c r="M38" i="1"/>
  <c r="J39" i="1"/>
  <c r="K39" i="1"/>
  <c r="L39" i="1"/>
  <c r="J40" i="1"/>
  <c r="K40" i="1"/>
  <c r="L40" i="1"/>
  <c r="K38" i="1"/>
  <c r="L38" i="1"/>
  <c r="H38" i="1"/>
  <c r="I38" i="1"/>
  <c r="H39" i="1"/>
  <c r="I39" i="1"/>
  <c r="I40" i="1"/>
  <c r="G39" i="1"/>
  <c r="G27" i="1"/>
  <c r="H27" i="1"/>
  <c r="H26" i="1"/>
  <c r="G26" i="1"/>
  <c r="L2" i="1"/>
  <c r="G44" i="1" l="1" a="1"/>
  <c r="I50" i="1" s="1" a="1"/>
  <c r="A22" i="1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<sst xmlns="http://schemas.openxmlformats.org/spreadsheetml/2006/main" count="14" uniqueCount="14">
  <si>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ROTATE BY</t>
  </si>
  <si>
    <t>DEGREES</t>
  </si>
  <si>
    <t>RADIANS</t>
  </si>
  <si>
    <t>ABOUT</t>
  </si>
  <si>
    <t>step1</t>
  </si>
  <si>
    <t>Move the point to the origin</t>
  </si>
  <si>
    <t>to</t>
  </si>
  <si>
    <t>2d Cartiesian</t>
  </si>
  <si>
    <t>2d Homoguous</t>
  </si>
  <si>
    <t>matrix</t>
  </si>
  <si>
    <t>step2</t>
  </si>
  <si>
    <t>Rotate</t>
  </si>
  <si>
    <t>Step 3</t>
  </si>
  <si>
    <t>Move origin back to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</si>
</sst>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Sheet1!$A$1:$A$4</c:f>
              <c:numCache>
                <c:formatCode>General</c:formatCode>
                <c:ptCount val="4"/>
                <c:pt idx="1">
                  <c:v>-1</c:v>
                </c:pt>
                <c:pt idx="2">
                  <c:v>0</c:v>
                </c:pt>
                <c:pt idx="3">
                  <c:v>1</c:v>
                </c:pt>
              </c:numCache>
            </c:numRef>
          </c:xVal>
          <c:yVal>
            <c:numRef>
              <c:f>Sheet1!$B$1:$B$4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8B-4F7B-82B4-675AED1E4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229952"/>
        <c:axId val="1258994448"/>
      </c:scatterChart>
      <c:valAx>
        <c:axId val="214222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94448"/>
        <c:crosses val="autoZero"/>
        <c:crossBetween val="midCat"/>
      </c:valAx>
      <c:valAx>
        <c:axId val="12589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2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Sheet1!$A$18:$A$25</c:f>
              <c:numCache>
                <c:formatCode>General</c:formatCode>
                <c:ptCount val="8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2.4019237886466835</c:v>
                </c:pt>
                <c:pt idx="5">
                  <c:v>2.0358983848622447</c:v>
                </c:pt>
                <c:pt idx="6">
                  <c:v>3.4019237886466835</c:v>
                </c:pt>
                <c:pt idx="7">
                  <c:v>3.7679491924311224</c:v>
                </c:pt>
              </c:numCache>
            </c:numRef>
          </c:xVal>
          <c:yVal>
            <c:numRef>
              <c:f>Sheet1!$B$18:$B$25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-1</c:v>
                </c:pt>
                <c:pt idx="3">
                  <c:v>0</c:v>
                </c:pt>
                <c:pt idx="4">
                  <c:v>3.5898384862245059E-2</c:v>
                </c:pt>
                <c:pt idx="5">
                  <c:v>-1.3301270189221936</c:v>
                </c:pt>
                <c:pt idx="6">
                  <c:v>-1.6961524227066325</c:v>
                </c:pt>
                <c:pt idx="7">
                  <c:v>-0.3301270189221937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EF-4ECE-BA80-00B5341D1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913040"/>
        <c:axId val="1258886928"/>
      </c:scatterChart>
      <c:valAx>
        <c:axId val="146791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86928"/>
        <c:crosses val="autoZero"/>
        <c:crossBetween val="midCat"/>
      </c:valAx>
      <c:valAx>
        <c:axId val="125888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1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419100</xdr:colOff>
      <xdr:row>5</xdr:row>
      <xdr:rowOff>166687</xdr:rowOff>
    </xdr:from>
    <xdr:to>
      <xdr:col>28</xdr:col>
      <xdr:colOff>114300</xdr:colOff>
      <xdr:row>20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C238E-E9A7-F300-0D53-D262EADC9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447675</xdr:colOff>
      <xdr:row>11</xdr:row>
      <xdr:rowOff>52387</xdr:rowOff>
    </xdr:from>
    <xdr:to>
      <xdr:col>18</xdr:col>
      <xdr:colOff>142875</xdr:colOff>
      <xdr:row>25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D17DDC-498D-8F9B-657E-61D5C23C6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0259-9868-4906-9F74-0D4CCF5E3C9F}">
  <dimension ref="A1:O52"/>
  <sheetViews>
    <sheetView tabSelected="1" topLeftCell="F1" workbookViewId="0">
      <selection activeCell="I4" sqref="I4"/>
    </sheetView>
  </sheetViews>
  <sheetFormatPr defaultRowHeight="15" x14ac:dyDescent="0.25"/>
  <cols>
    <col min="1" max="1" width="9.140625" customWidth="1"/>
    <col min="7" max="7" width="10.42578125" customWidth="1"/>
  </cols>
  <sheetData>
    <row r="1" spans="1:13" x14ac:dyDescent="0.25">
      <c r="A1" s="2"/>
      <c r="B1" s="2">
        <v>1</v>
      </c>
      <c r="C1" s="2"/>
    </row>
    <row r="2" spans="1:13" x14ac:dyDescent="0.25">
      <c r="A2" s="2">
        <v>-1</v>
      </c>
      <c r="B2" s="2">
        <v>0</v>
      </c>
      <c r="C2" s="2"/>
      <c r="G2" t="s">
        <v>0</v>
      </c>
      <c r="H2" s="1">
        <v>30</v>
      </c>
      <c r="I2" t="s">
        <v>1</v>
      </c>
      <c r="L2" s="3">
        <f>RADIANS(H2)</f>
        <v>0.52359877559829882</v>
      </c>
      <c r="M2" t="s">
        <v>2</v>
      </c>
    </row>
    <row r="3" spans="1:13" x14ac:dyDescent="0.25">
      <c r="A3" s="2">
        <v>0</v>
      </c>
      <c r="B3" s="2">
        <v>-1</v>
      </c>
      <c r="C3" s="2"/>
      <c r="G3" t="s">
        <v>3</v>
      </c>
      <c r="H3" s="1">
        <v>3</v>
      </c>
      <c r="I3" s="1">
        <v>5</v>
      </c>
    </row>
    <row r="4" spans="1:13" x14ac:dyDescent="0.25">
      <c r="A4" s="2">
        <v>1</v>
      </c>
      <c r="B4" s="2"/>
      <c r="C4" s="2"/>
    </row>
    <row r="8" spans="1:13" x14ac:dyDescent="0.25">
      <c r="G8" t="s">
        <v>4</v>
      </c>
      <c r="H8" t="s">
        <v>5</v>
      </c>
    </row>
    <row r="9" spans="1:13" x14ac:dyDescent="0.25">
      <c r="A9" t="s">
        <v>7</v>
      </c>
    </row>
    <row r="10" spans="1:13" x14ac:dyDescent="0.25">
      <c r="A10" s="1">
        <v>0</v>
      </c>
      <c r="B10" s="1">
        <v>1</v>
      </c>
      <c r="H10">
        <v>2</v>
      </c>
      <c r="I10">
        <v>3</v>
      </c>
      <c r="J10" t="s">
        <v>6</v>
      </c>
      <c r="K10">
        <v>0</v>
      </c>
      <c r="L10">
        <v>0</v>
      </c>
    </row>
    <row r="11" spans="1:13" x14ac:dyDescent="0.25">
      <c r="A11" s="1">
        <v>-1</v>
      </c>
      <c r="B11" s="1">
        <v>0</v>
      </c>
    </row>
    <row r="12" spans="1:13" x14ac:dyDescent="0.25">
      <c r="A12" s="1">
        <v>0</v>
      </c>
      <c r="B12" s="1">
        <v>-1</v>
      </c>
    </row>
    <row r="13" spans="1:13" x14ac:dyDescent="0.25">
      <c r="A13" s="1">
        <v>1</v>
      </c>
      <c r="B13" s="1">
        <v>0</v>
      </c>
    </row>
    <row r="17" spans="1:9" x14ac:dyDescent="0.25">
      <c r="A17" t="s">
        <v>8</v>
      </c>
    </row>
    <row r="18" spans="1:9" x14ac:dyDescent="0.25">
      <c r="A18" s="1">
        <v>0</v>
      </c>
      <c r="B18" s="1">
        <v>1</v>
      </c>
      <c r="C18" s="1">
        <v>1</v>
      </c>
      <c r="G18" t="s">
        <v>9</v>
      </c>
    </row>
    <row r="19" spans="1:9" x14ac:dyDescent="0.25">
      <c r="A19" s="1">
        <v>-1</v>
      </c>
      <c r="B19" s="1">
        <v>0</v>
      </c>
      <c r="C19" s="1">
        <v>1</v>
      </c>
      <c r="G19" s="4">
        <v>1</v>
      </c>
      <c r="H19" s="4">
        <v>0</v>
      </c>
      <c r="I19" s="4">
        <v>0</v>
      </c>
    </row>
    <row r="20" spans="1:9" x14ac:dyDescent="0.25">
      <c r="A20" s="1">
        <v>0</v>
      </c>
      <c r="B20" s="1">
        <v>-1</v>
      </c>
      <c r="C20" s="1">
        <v>1</v>
      </c>
      <c r="G20" s="4">
        <v>0</v>
      </c>
      <c r="H20" s="4">
        <v>1</v>
      </c>
      <c r="I20" s="4">
        <v>0</v>
      </c>
    </row>
    <row r="21" spans="1:9" x14ac:dyDescent="0.25">
      <c r="A21" s="1">
        <v>1</v>
      </c>
      <c r="B21" s="1">
        <v>0</v>
      </c>
      <c r="C21" s="1">
        <v>1</v>
      </c>
      <c r="G21" s="4">
        <f>-H3</f>
        <v>-3</v>
      </c>
      <c r="H21" s="4">
        <f>-I3</f>
        <v>-5</v>
      </c>
      <c r="I21" s="4">
        <v>1</v>
      </c>
    </row>
    <row r="22" spans="1:9" x14ac:dyDescent="0.25">
      <c r="A22" cm="1">
        <f t="array" ref="A22:C25">MMULT(A18:C21,_xlfn.ANCHORARRAY(I50))</f>
        <v>2.4019237886466835</v>
      </c>
      <c r="B22">
        <v>3.5898384862245059E-2</v>
      </c>
      <c r="C22">
        <v>1</v>
      </c>
    </row>
    <row r="23" spans="1:9" x14ac:dyDescent="0.25">
      <c r="A23">
        <v>2.0358983848622447</v>
      </c>
      <c r="B23">
        <v>-1.3301270189221936</v>
      </c>
      <c r="C23">
        <v>1</v>
      </c>
    </row>
    <row r="24" spans="1:9" x14ac:dyDescent="0.25">
      <c r="A24">
        <v>3.4019237886466835</v>
      </c>
      <c r="B24">
        <v>-1.6961524227066325</v>
      </c>
      <c r="C24">
        <v>1</v>
      </c>
      <c r="G24" t="s">
        <v>10</v>
      </c>
      <c r="H24" t="s">
        <v>11</v>
      </c>
    </row>
    <row r="25" spans="1:9" x14ac:dyDescent="0.25">
      <c r="A25">
        <v>3.7679491924311224</v>
      </c>
      <c r="B25">
        <v>-0.3301270189221937</v>
      </c>
      <c r="C25">
        <v>1</v>
      </c>
    </row>
    <row r="26" spans="1:9" x14ac:dyDescent="0.25">
      <c r="G26" s="4">
        <f>COS(L2)</f>
        <v>0.86602540378443871</v>
      </c>
      <c r="H26" s="4">
        <f>SIN(L2)</f>
        <v>0.49999999999999994</v>
      </c>
      <c r="I26" s="4">
        <v>0</v>
      </c>
    </row>
    <row r="27" spans="1:9" x14ac:dyDescent="0.25">
      <c r="G27" s="4">
        <f>-SIN(L2)</f>
        <v>-0.49999999999999994</v>
      </c>
      <c r="H27" s="4">
        <f>COS(L2)</f>
        <v>0.86602540378443871</v>
      </c>
      <c r="I27" s="4">
        <v>0</v>
      </c>
    </row>
    <row r="28" spans="1:9" x14ac:dyDescent="0.25">
      <c r="G28" s="4">
        <v>0</v>
      </c>
      <c r="H28" s="4">
        <v>0</v>
      </c>
      <c r="I28" s="4">
        <v>1</v>
      </c>
    </row>
    <row r="30" spans="1:9" x14ac:dyDescent="0.25">
      <c r="G30" t="s">
        <v>12</v>
      </c>
    </row>
    <row r="31" spans="1:9" x14ac:dyDescent="0.25">
      <c r="G31" t="s">
        <v>13</v>
      </c>
    </row>
    <row r="33" spans="7:15" x14ac:dyDescent="0.25">
      <c r="G33" s="4">
        <v>1</v>
      </c>
      <c r="H33" s="4">
        <v>0</v>
      </c>
      <c r="I33" s="4">
        <v>0</v>
      </c>
    </row>
    <row r="34" spans="7:15" x14ac:dyDescent="0.25">
      <c r="G34" s="4">
        <v>0</v>
      </c>
      <c r="H34" s="4">
        <v>1</v>
      </c>
      <c r="I34" s="4">
        <v>0</v>
      </c>
    </row>
    <row r="35" spans="7:15" x14ac:dyDescent="0.25">
      <c r="G35" s="4">
        <f>H3</f>
        <v>3</v>
      </c>
      <c r="H35" s="4">
        <f>I3</f>
        <v>5</v>
      </c>
      <c r="I35" s="4">
        <v>1</v>
      </c>
    </row>
    <row r="38" spans="7:15" x14ac:dyDescent="0.25">
      <c r="G38" s="5">
        <f>G19</f>
        <v>1</v>
      </c>
      <c r="H38" s="5">
        <f t="shared" ref="H38:I38" si="0">H19</f>
        <v>0</v>
      </c>
      <c r="I38" s="5">
        <f t="shared" si="0"/>
        <v>0</v>
      </c>
      <c r="J38" s="6">
        <f>G26</f>
        <v>0.86602540378443871</v>
      </c>
      <c r="K38" s="6">
        <f t="shared" ref="K38:L38" si="1">H26</f>
        <v>0.49999999999999994</v>
      </c>
      <c r="L38" s="6">
        <f t="shared" si="1"/>
        <v>0</v>
      </c>
      <c r="M38" s="5">
        <f>G33</f>
        <v>1</v>
      </c>
      <c r="N38" s="5">
        <f t="shared" ref="N38:O38" si="2">H33</f>
        <v>0</v>
      </c>
      <c r="O38" s="5">
        <f t="shared" si="2"/>
        <v>0</v>
      </c>
    </row>
    <row r="39" spans="7:15" x14ac:dyDescent="0.25">
      <c r="G39" s="5">
        <f t="shared" ref="G39:I40" si="3">G20</f>
        <v>0</v>
      </c>
      <c r="H39" s="5">
        <f t="shared" si="3"/>
        <v>1</v>
      </c>
      <c r="I39" s="5">
        <f t="shared" si="3"/>
        <v>0</v>
      </c>
      <c r="J39" s="6">
        <f t="shared" ref="J39:J40" si="4">G27</f>
        <v>-0.49999999999999994</v>
      </c>
      <c r="K39" s="6">
        <f t="shared" ref="K39:K40" si="5">H27</f>
        <v>0.86602540378443871</v>
      </c>
      <c r="L39" s="6">
        <f t="shared" ref="L39:L40" si="6">I27</f>
        <v>0</v>
      </c>
      <c r="M39" s="5">
        <f t="shared" ref="M39:M40" si="7">G34</f>
        <v>0</v>
      </c>
      <c r="N39" s="5">
        <f t="shared" ref="N39:N40" si="8">H34</f>
        <v>1</v>
      </c>
      <c r="O39" s="5">
        <f t="shared" ref="O39:O40" si="9">I34</f>
        <v>0</v>
      </c>
    </row>
    <row r="40" spans="7:15" x14ac:dyDescent="0.25">
      <c r="G40" s="5">
        <f t="shared" si="3"/>
        <v>-3</v>
      </c>
      <c r="H40" s="5">
        <f t="shared" si="3"/>
        <v>-5</v>
      </c>
      <c r="I40" s="5">
        <f t="shared" si="3"/>
        <v>1</v>
      </c>
      <c r="J40" s="6">
        <f t="shared" si="4"/>
        <v>0</v>
      </c>
      <c r="K40" s="6">
        <f t="shared" si="5"/>
        <v>0</v>
      </c>
      <c r="L40" s="6">
        <f t="shared" si="6"/>
        <v>1</v>
      </c>
      <c r="M40" s="5">
        <f t="shared" si="7"/>
        <v>3</v>
      </c>
      <c r="N40" s="5">
        <f t="shared" si="8"/>
        <v>5</v>
      </c>
      <c r="O40" s="5">
        <f t="shared" si="9"/>
        <v>1</v>
      </c>
    </row>
    <row r="44" spans="7:15" x14ac:dyDescent="0.25">
      <c r="G44" s="5" cm="1">
        <f t="array" ref="G44:I46">MMULT(G38:I40, J38:L40)</f>
        <v>0.86602540378443871</v>
      </c>
      <c r="H44" s="5">
        <v>0.49999999999999994</v>
      </c>
      <c r="I44" s="5">
        <v>0</v>
      </c>
      <c r="K44" s="5">
        <f>M38</f>
        <v>1</v>
      </c>
      <c r="L44" s="5">
        <f t="shared" ref="L44:M46" si="10">N38</f>
        <v>0</v>
      </c>
      <c r="M44" s="5">
        <f t="shared" si="10"/>
        <v>0</v>
      </c>
    </row>
    <row r="45" spans="7:15" x14ac:dyDescent="0.25">
      <c r="G45" s="5">
        <v>-0.49999999999999994</v>
      </c>
      <c r="H45" s="5">
        <v>0.86602540378443871</v>
      </c>
      <c r="I45" s="5">
        <v>0</v>
      </c>
      <c r="K45" s="5">
        <f t="shared" ref="K45:K46" si="11">M39</f>
        <v>0</v>
      </c>
      <c r="L45" s="5">
        <f t="shared" si="10"/>
        <v>1</v>
      </c>
      <c r="M45" s="5">
        <f t="shared" si="10"/>
        <v>0</v>
      </c>
    </row>
    <row r="46" spans="7:15" x14ac:dyDescent="0.25">
      <c r="G46" s="5">
        <v>-9.8076211353316456E-2</v>
      </c>
      <c r="H46" s="5">
        <v>-5.8301270189221936</v>
      </c>
      <c r="I46" s="5">
        <v>1</v>
      </c>
      <c r="K46" s="5">
        <f t="shared" si="11"/>
        <v>3</v>
      </c>
      <c r="L46" s="5">
        <f t="shared" si="10"/>
        <v>5</v>
      </c>
      <c r="M46" s="5">
        <f t="shared" si="10"/>
        <v>1</v>
      </c>
    </row>
    <row r="50" spans="9:11" x14ac:dyDescent="0.25">
      <c r="I50" s="7" cm="1">
        <f t="array" ref="I50:K52">MMULT(_xlfn.ANCHORARRAY(G44), K44:M46)</f>
        <v>0.86602540378443871</v>
      </c>
      <c r="J50" s="7">
        <v>0.49999999999999994</v>
      </c>
      <c r="K50" s="7">
        <v>0</v>
      </c>
    </row>
    <row r="51" spans="9:11" x14ac:dyDescent="0.25">
      <c r="I51" s="7">
        <v>-0.49999999999999994</v>
      </c>
      <c r="J51" s="7">
        <v>0.86602540378443871</v>
      </c>
      <c r="K51" s="7">
        <v>0</v>
      </c>
    </row>
    <row r="52" spans="9:11" x14ac:dyDescent="0.25">
      <c r="I52" s="7">
        <v>2.9019237886466835</v>
      </c>
      <c r="J52" s="7">
        <v>-0.83012701892219365</v>
      </c>
      <c r="K52" s="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Harvey Smith (TL_KCOMP_B_Y3)</dc:creator>
  <cp:lastModifiedBy>Student Harvey Smith (TL_KCOMP_B_Y3)</cp:lastModifiedBy>
  <dcterms:created xsi:type="dcterms:W3CDTF">2026-09-30T10:46:24Z</dcterms:created>
  <dcterms:modified xsi:type="dcterms:W3CDTF">2026-09-30T11:26:43Z</dcterms:modified>
</cp:coreProperties>
</file>