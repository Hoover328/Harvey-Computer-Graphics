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HarveySmith(T\Desktop\"/>
    </mc:Choice>
  </mc:AlternateContent>
  <xr:revisionPtr revIDLastSave="0" documentId="8_{1A322EDD-F46B-4A1D-9401-907648CB729F}" xr6:coauthVersionLast="47" xr6:coauthVersionMax="47" xr10:uidLastSave="{00000000-0000-0000-0000-000000000000}"/>
  <bookViews>
    <workbookView xWindow="14295" yWindow="0" windowWidth="14610" windowHeight="15585" activeTab="1" xr2:uid="{4BA9B751-3709-40F5-A4EB-9053401723AC}"/>
  </bookViews>
  <sheets>
    <sheet name="Simple 2D rotation" sheetId="1" r:id="rId1"/>
    <sheet name="Rotation about a point in 2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4" i="2" l="1"/>
  <c r="O34" i="2"/>
  <c r="N35" i="2"/>
  <c r="O35" i="2"/>
  <c r="O36" i="2"/>
  <c r="M35" i="2"/>
  <c r="M34" i="2"/>
  <c r="N30" i="2"/>
  <c r="O30" i="2"/>
  <c r="N31" i="2"/>
  <c r="O31" i="2"/>
  <c r="O32" i="2"/>
  <c r="M31" i="2"/>
  <c r="M30" i="2"/>
  <c r="L30" i="2"/>
  <c r="L31" i="2"/>
  <c r="K32" i="2"/>
  <c r="L32" i="2"/>
  <c r="J32" i="2"/>
  <c r="H30" i="2"/>
  <c r="I30" i="2"/>
  <c r="H31" i="2"/>
  <c r="I31" i="2"/>
  <c r="I32" i="2"/>
  <c r="G31" i="2"/>
  <c r="G30" i="2"/>
  <c r="G26" i="2"/>
  <c r="H26" i="2"/>
  <c r="I26" i="2"/>
  <c r="I27" i="2"/>
  <c r="H25" i="2"/>
  <c r="I25" i="2"/>
  <c r="G25" i="2"/>
  <c r="A12" i="2"/>
  <c r="B12" i="2"/>
  <c r="A13" i="2"/>
  <c r="B13" i="2"/>
  <c r="A14" i="2"/>
  <c r="B14" i="2"/>
  <c r="B11" i="2"/>
  <c r="A11" i="2"/>
  <c r="J8" i="2"/>
  <c r="H13" i="2" s="1"/>
  <c r="H8" i="2"/>
  <c r="G13" i="2" s="1"/>
  <c r="J2" i="2"/>
  <c r="B17" i="1"/>
  <c r="C20" i="1" s="1"/>
  <c r="B20" i="1"/>
  <c r="C19" i="1"/>
  <c r="B19" i="1"/>
  <c r="A9" i="1" s="1" a="1"/>
  <c r="H32" i="2" l="1"/>
  <c r="H27" i="2"/>
  <c r="N32" i="2" s="1"/>
  <c r="N36" i="2" s="1"/>
  <c r="G27" i="2"/>
  <c r="M32" i="2" s="1"/>
  <c r="M36" i="2" s="1"/>
  <c r="G32" i="2"/>
  <c r="H19" i="2"/>
  <c r="K31" i="2" s="1"/>
  <c r="H18" i="2"/>
  <c r="K30" i="2" s="1"/>
  <c r="G19" i="2"/>
  <c r="J31" i="2" s="1"/>
  <c r="G18" i="2"/>
  <c r="J30" i="2" s="1"/>
  <c r="I34" i="2" l="1" a="1"/>
  <c r="J39" i="2" s="1" a="1"/>
  <c r="A15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<sst xmlns="http://schemas.openxmlformats.org/spreadsheetml/2006/main" count="26" uniqueCount="23">
  <si>
    <t>Points</t>
  </si>
  <si>
    <t>Degrees</t>
  </si>
  <si>
    <t>Rad</t>
  </si>
  <si>
    <t xml:space="preserve"> </t>
  </si>
  <si>
    <t>Rotate by</t>
  </si>
  <si>
    <t>degrees</t>
  </si>
  <si>
    <t>radians</t>
  </si>
  <si>
    <t xml:space="preserve">About </t>
  </si>
  <si>
    <t>Step 1</t>
  </si>
  <si>
    <t>Move the point to the origin</t>
  </si>
  <si>
    <t>(</t>
  </si>
  <si>
    <t>,</t>
  </si>
  <si>
    <t>)</t>
  </si>
  <si>
    <t>-&gt;</t>
  </si>
  <si>
    <t>2D Cartesian</t>
  </si>
  <si>
    <t>2D Homogeneous</t>
  </si>
  <si>
    <t>Step 2</t>
  </si>
  <si>
    <t>Rotate</t>
  </si>
  <si>
    <t>Step 3</t>
  </si>
  <si>
    <t>Move origin back to point</t>
  </si>
  <si>
    <t xml:space="preserve">Step 3 </t>
  </si>
  <si>
    <t>Compose</t>
  </si>
  <si>
    <t>Single matrix for all 3 transforms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</si>
</sst>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'Simple 2D rotation'!$A$2:$A$15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7">
                  <c:v>0</c:v>
                </c:pt>
                <c:pt idx="8">
                  <c:v>-0.70710678118654746</c:v>
                </c:pt>
                <c:pt idx="9">
                  <c:v>-0.70710678118654757</c:v>
                </c:pt>
                <c:pt idx="10">
                  <c:v>0.70710678118654746</c:v>
                </c:pt>
              </c:numCache>
            </c:numRef>
          </c:xVal>
          <c:yVal>
            <c:numRef>
              <c:f>'Simple 2D rotation'!$B$2:$B$15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7">
                  <c:v>0</c:v>
                </c:pt>
                <c:pt idx="8">
                  <c:v>0.70710678118654757</c:v>
                </c:pt>
                <c:pt idx="9">
                  <c:v>-0.70710678118654746</c:v>
                </c:pt>
                <c:pt idx="10">
                  <c:v>-0.70710678118654757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8-48E2-8471-10B2D058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748000"/>
        <c:axId val="1148707376"/>
      </c:scatterChart>
      <c:valAx>
        <c:axId val="124674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07376"/>
        <c:crosses val="autoZero"/>
        <c:crossBetween val="midCat"/>
      </c:valAx>
      <c:valAx>
        <c:axId val="11487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4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'Rotation about a point in 2D'!$A$11:$A$18</c:f>
              <c:numCache>
                <c:formatCode>General</c:formatCode>
                <c:ptCount val="8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2.4019237886466835</c:v>
                </c:pt>
                <c:pt idx="5">
                  <c:v>2.0358983848622447</c:v>
                </c:pt>
                <c:pt idx="6">
                  <c:v>3.4019237886466835</c:v>
                </c:pt>
                <c:pt idx="7">
                  <c:v>3.7679491924311224</c:v>
                </c:pt>
              </c:numCache>
            </c:numRef>
          </c:xVal>
          <c:yVal>
            <c:numRef>
              <c:f>'Rotation about a point in 2D'!$B$11:$B$18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3.5898384862245059E-2</c:v>
                </c:pt>
                <c:pt idx="5">
                  <c:v>-1.3301270189221936</c:v>
                </c:pt>
                <c:pt idx="6">
                  <c:v>-1.6961524227066325</c:v>
                </c:pt>
                <c:pt idx="7">
                  <c:v>-0.3301270189221937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2-4015-A13B-2E9FF5D3E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209056"/>
        <c:axId val="1148774096"/>
      </c:scatterChart>
      <c:valAx>
        <c:axId val="205820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74096"/>
        <c:crosses val="autoZero"/>
        <c:crossBetween val="midCat"/>
      </c:valAx>
      <c:valAx>
        <c:axId val="11487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20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9</xdr:row>
      <xdr:rowOff>166687</xdr:rowOff>
    </xdr:from>
    <xdr:to>
      <xdr:col>13</xdr:col>
      <xdr:colOff>295275</xdr:colOff>
      <xdr:row>24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7114BD-DC3B-1F80-D92C-7E6B2577D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9</xdr:row>
      <xdr:rowOff>176212</xdr:rowOff>
    </xdr:from>
    <xdr:to>
      <xdr:col>18</xdr:col>
      <xdr:colOff>38100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218E7-80A0-72E4-03F8-387F9A2E1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A24D-777F-41C4-A516-FB152C989494}">
  <dimension ref="A1:G21"/>
  <sheetViews>
    <sheetView workbookViewId="0">
      <selection activeCell="F31" sqref="F31"/>
    </sheetView>
  </sheetViews>
  <sheetFormatPr defaultRowHeight="15" x14ac:dyDescent="0.25"/>
  <cols>
    <col min="1" max="1" width="8.140625" style="1" bestFit="1" customWidth="1"/>
    <col min="2" max="7" width="9.140625" style="1"/>
  </cols>
  <sheetData>
    <row r="1" spans="1:4" x14ac:dyDescent="0.25">
      <c r="A1" s="1" t="s">
        <v>0</v>
      </c>
    </row>
    <row r="2" spans="1:4" x14ac:dyDescent="0.25">
      <c r="A2" s="8">
        <v>0</v>
      </c>
      <c r="B2" s="8">
        <v>0</v>
      </c>
    </row>
    <row r="3" spans="1:4" x14ac:dyDescent="0.25">
      <c r="A3" s="8">
        <v>1</v>
      </c>
      <c r="B3" s="8">
        <v>0</v>
      </c>
    </row>
    <row r="4" spans="1:4" x14ac:dyDescent="0.25">
      <c r="A4" s="8">
        <v>0</v>
      </c>
      <c r="B4" s="8">
        <v>1</v>
      </c>
    </row>
    <row r="5" spans="1:4" x14ac:dyDescent="0.25">
      <c r="A5" s="8">
        <v>-1</v>
      </c>
      <c r="B5" s="8">
        <v>0</v>
      </c>
    </row>
    <row r="6" spans="1:4" x14ac:dyDescent="0.25">
      <c r="A6" s="8"/>
      <c r="B6" s="8"/>
    </row>
    <row r="7" spans="1:4" x14ac:dyDescent="0.25">
      <c r="A7" s="8"/>
      <c r="B7" s="8"/>
    </row>
    <row r="8" spans="1:4" x14ac:dyDescent="0.25">
      <c r="A8" s="8"/>
      <c r="B8" s="8"/>
    </row>
    <row r="9" spans="1:4" x14ac:dyDescent="0.25">
      <c r="A9" s="7" cm="1">
        <f t="array" ref="A9:B12">MMULT(A2:B5,B19:C20)</f>
        <v>0</v>
      </c>
      <c r="B9" s="7">
        <v>0</v>
      </c>
    </row>
    <row r="10" spans="1:4" x14ac:dyDescent="0.25">
      <c r="A10" s="7">
        <v>-0.70710678118654746</v>
      </c>
      <c r="B10" s="7">
        <v>0.70710678118654757</v>
      </c>
    </row>
    <row r="11" spans="1:4" x14ac:dyDescent="0.25">
      <c r="A11" s="7">
        <v>-0.70710678118654757</v>
      </c>
      <c r="B11" s="7">
        <v>-0.70710678118654746</v>
      </c>
    </row>
    <row r="12" spans="1:4" x14ac:dyDescent="0.25">
      <c r="A12" s="7">
        <v>0.70710678118654746</v>
      </c>
      <c r="B12" s="7">
        <v>-0.70710678118654757</v>
      </c>
    </row>
    <row r="13" spans="1:4" x14ac:dyDescent="0.25">
      <c r="A13" s="7"/>
      <c r="B13" s="7"/>
    </row>
    <row r="14" spans="1:4" x14ac:dyDescent="0.25">
      <c r="A14" s="7"/>
      <c r="B14" s="7"/>
      <c r="D14" s="1" t="s">
        <v>3</v>
      </c>
    </row>
    <row r="15" spans="1:4" x14ac:dyDescent="0.25">
      <c r="A15" s="7"/>
      <c r="B15" s="7"/>
    </row>
    <row r="16" spans="1:4" x14ac:dyDescent="0.25">
      <c r="A16" s="1" t="s">
        <v>1</v>
      </c>
      <c r="B16" s="1" t="s">
        <v>2</v>
      </c>
    </row>
    <row r="17" spans="1:3" x14ac:dyDescent="0.25">
      <c r="A17" s="6">
        <v>135</v>
      </c>
      <c r="B17" s="7">
        <f>RADIANS(A17)</f>
        <v>2.3561944901923448</v>
      </c>
    </row>
    <row r="18" spans="1:3" ht="15.75" thickBot="1" x14ac:dyDescent="0.3"/>
    <row r="19" spans="1:3" ht="15.75" thickTop="1" x14ac:dyDescent="0.25">
      <c r="B19" s="2">
        <f>COS(B17)</f>
        <v>-0.70710678118654746</v>
      </c>
      <c r="C19" s="3">
        <f>SIN(B17)</f>
        <v>0.70710678118654757</v>
      </c>
    </row>
    <row r="20" spans="1:3" ht="15.75" thickBot="1" x14ac:dyDescent="0.3">
      <c r="B20" s="4">
        <f>-SIN(B17)</f>
        <v>-0.70710678118654757</v>
      </c>
      <c r="C20" s="5">
        <f>COS(B17)</f>
        <v>-0.70710678118654746</v>
      </c>
    </row>
    <row r="21" spans="1:3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EB7F-841A-4DA0-932B-6AB9732525D4}">
  <dimension ref="A1:Q42"/>
  <sheetViews>
    <sheetView tabSelected="1" topLeftCell="C7" workbookViewId="0">
      <selection activeCell="J41" sqref="J41"/>
    </sheetView>
  </sheetViews>
  <sheetFormatPr defaultRowHeight="15" x14ac:dyDescent="0.25"/>
  <cols>
    <col min="1" max="16384" width="9.140625" style="1"/>
  </cols>
  <sheetData>
    <row r="1" spans="1:17" x14ac:dyDescent="0.25">
      <c r="A1" s="14" t="s">
        <v>14</v>
      </c>
      <c r="B1" s="14"/>
    </row>
    <row r="2" spans="1:17" x14ac:dyDescent="0.25">
      <c r="A2" s="9">
        <v>0</v>
      </c>
      <c r="B2" s="9">
        <v>1</v>
      </c>
      <c r="F2" s="1" t="s">
        <v>4</v>
      </c>
      <c r="G2" s="9">
        <v>30</v>
      </c>
      <c r="H2" s="1" t="s">
        <v>5</v>
      </c>
      <c r="J2" s="7">
        <f>RADIANS(G2)</f>
        <v>0.52359877559829882</v>
      </c>
      <c r="K2" s="1" t="s">
        <v>6</v>
      </c>
    </row>
    <row r="3" spans="1:17" x14ac:dyDescent="0.25">
      <c r="A3" s="9">
        <v>-1</v>
      </c>
      <c r="B3" s="9">
        <v>0</v>
      </c>
      <c r="F3" s="1" t="s">
        <v>7</v>
      </c>
      <c r="G3" s="9">
        <v>3</v>
      </c>
      <c r="H3" s="9">
        <v>5</v>
      </c>
    </row>
    <row r="4" spans="1:17" x14ac:dyDescent="0.25">
      <c r="A4" s="9">
        <v>0</v>
      </c>
      <c r="B4" s="9">
        <v>-1</v>
      </c>
    </row>
    <row r="5" spans="1:17" x14ac:dyDescent="0.25">
      <c r="A5" s="9">
        <v>1</v>
      </c>
      <c r="B5" s="9">
        <v>0</v>
      </c>
    </row>
    <row r="6" spans="1:17" x14ac:dyDescent="0.25">
      <c r="F6" s="1" t="s">
        <v>8</v>
      </c>
      <c r="G6" s="10" t="s">
        <v>9</v>
      </c>
    </row>
    <row r="8" spans="1:17" x14ac:dyDescent="0.25">
      <c r="G8" s="11" t="s">
        <v>10</v>
      </c>
      <c r="H8" s="1">
        <f>G3</f>
        <v>3</v>
      </c>
      <c r="I8" s="11" t="s">
        <v>11</v>
      </c>
      <c r="J8" s="1">
        <f>H3</f>
        <v>5</v>
      </c>
      <c r="K8" s="11" t="s">
        <v>12</v>
      </c>
      <c r="L8" s="11" t="s">
        <v>13</v>
      </c>
      <c r="M8" s="11" t="s">
        <v>10</v>
      </c>
      <c r="N8" s="1">
        <v>0</v>
      </c>
      <c r="O8" s="11" t="s">
        <v>11</v>
      </c>
      <c r="P8" s="1">
        <v>0</v>
      </c>
      <c r="Q8" s="11" t="s">
        <v>12</v>
      </c>
    </row>
    <row r="10" spans="1:17" ht="15.75" thickBot="1" x14ac:dyDescent="0.3">
      <c r="A10" s="14" t="s">
        <v>15</v>
      </c>
      <c r="B10" s="14"/>
      <c r="C10" s="14"/>
    </row>
    <row r="11" spans="1:17" ht="15.75" thickTop="1" x14ac:dyDescent="0.25">
      <c r="A11" s="1">
        <f>A2</f>
        <v>0</v>
      </c>
      <c r="B11" s="1">
        <f>B2</f>
        <v>1</v>
      </c>
      <c r="C11" s="1">
        <v>1</v>
      </c>
      <c r="G11" s="2">
        <v>1</v>
      </c>
      <c r="H11" s="1">
        <v>0</v>
      </c>
      <c r="I11" s="3">
        <v>0</v>
      </c>
    </row>
    <row r="12" spans="1:17" x14ac:dyDescent="0.25">
      <c r="A12" s="1">
        <f t="shared" ref="A12:B12" si="0">A3</f>
        <v>-1</v>
      </c>
      <c r="B12" s="1">
        <f t="shared" si="0"/>
        <v>0</v>
      </c>
      <c r="C12" s="1">
        <v>1</v>
      </c>
      <c r="G12" s="12">
        <v>0</v>
      </c>
      <c r="H12" s="1">
        <v>1</v>
      </c>
      <c r="I12" s="13">
        <v>0</v>
      </c>
    </row>
    <row r="13" spans="1:17" ht="15.75" thickBot="1" x14ac:dyDescent="0.3">
      <c r="A13" s="1">
        <f t="shared" ref="A13:B13" si="1">A4</f>
        <v>0</v>
      </c>
      <c r="B13" s="1">
        <f t="shared" si="1"/>
        <v>-1</v>
      </c>
      <c r="C13" s="1">
        <v>1</v>
      </c>
      <c r="G13" s="4">
        <f>-H8</f>
        <v>-3</v>
      </c>
      <c r="H13" s="1">
        <f>-J8</f>
        <v>-5</v>
      </c>
      <c r="I13" s="5">
        <v>1</v>
      </c>
    </row>
    <row r="14" spans="1:17" ht="15.75" thickTop="1" x14ac:dyDescent="0.25">
      <c r="A14" s="1">
        <f t="shared" ref="A14:B14" si="2">A5</f>
        <v>1</v>
      </c>
      <c r="B14" s="1">
        <f t="shared" si="2"/>
        <v>0</v>
      </c>
      <c r="C14" s="1">
        <v>1</v>
      </c>
    </row>
    <row r="15" spans="1:17" x14ac:dyDescent="0.25">
      <c r="A15" s="1" cm="1">
        <f t="array" ref="A15:C18">MMULT(A11:C14,_xlfn.ANCHORARRAY(J39))</f>
        <v>2.4019237886466835</v>
      </c>
      <c r="B15" s="1">
        <v>3.5898384862245059E-2</v>
      </c>
      <c r="C15" s="1">
        <v>1</v>
      </c>
    </row>
    <row r="16" spans="1:17" x14ac:dyDescent="0.25">
      <c r="A16" s="1">
        <v>2.0358983848622447</v>
      </c>
      <c r="B16" s="1">
        <v>-1.3301270189221936</v>
      </c>
      <c r="C16" s="1">
        <v>1</v>
      </c>
      <c r="F16" s="1" t="s">
        <v>16</v>
      </c>
      <c r="G16" s="1" t="s">
        <v>17</v>
      </c>
    </row>
    <row r="17" spans="1:15" ht="15.75" thickBot="1" x14ac:dyDescent="0.3">
      <c r="A17" s="1">
        <v>3.4019237886466835</v>
      </c>
      <c r="B17" s="1">
        <v>-1.6961524227066325</v>
      </c>
      <c r="C17" s="1">
        <v>1</v>
      </c>
    </row>
    <row r="18" spans="1:15" ht="15.75" thickTop="1" x14ac:dyDescent="0.25">
      <c r="A18" s="1">
        <v>3.7679491924311224</v>
      </c>
      <c r="B18" s="1">
        <v>-0.3301270189221937</v>
      </c>
      <c r="C18" s="1">
        <v>1</v>
      </c>
      <c r="G18" s="2">
        <f>COS(J2)</f>
        <v>0.86602540378443871</v>
      </c>
      <c r="H18" s="1">
        <f>SIN(J2)</f>
        <v>0.49999999999999994</v>
      </c>
      <c r="I18" s="3">
        <v>0</v>
      </c>
    </row>
    <row r="19" spans="1:15" x14ac:dyDescent="0.25">
      <c r="G19" s="12">
        <f>-SIN(J2)</f>
        <v>-0.49999999999999994</v>
      </c>
      <c r="H19" s="1">
        <f>COS(J2)</f>
        <v>0.86602540378443871</v>
      </c>
      <c r="I19" s="13">
        <v>0</v>
      </c>
    </row>
    <row r="20" spans="1:15" ht="15.75" thickBot="1" x14ac:dyDescent="0.3">
      <c r="G20" s="4">
        <v>0</v>
      </c>
      <c r="H20" s="1">
        <v>0</v>
      </c>
      <c r="I20" s="5">
        <v>1</v>
      </c>
    </row>
    <row r="21" spans="1:15" ht="15.75" thickTop="1" x14ac:dyDescent="0.25"/>
    <row r="23" spans="1:15" x14ac:dyDescent="0.25">
      <c r="F23" s="1" t="s">
        <v>18</v>
      </c>
      <c r="G23" s="10" t="s">
        <v>19</v>
      </c>
    </row>
    <row r="24" spans="1:15" ht="15.75" thickBot="1" x14ac:dyDescent="0.3"/>
    <row r="25" spans="1:15" ht="15.75" thickTop="1" x14ac:dyDescent="0.25">
      <c r="G25" s="2">
        <f>G11</f>
        <v>1</v>
      </c>
      <c r="H25" s="1">
        <f t="shared" ref="H25:I25" si="3">H11</f>
        <v>0</v>
      </c>
      <c r="I25" s="3">
        <f t="shared" si="3"/>
        <v>0</v>
      </c>
    </row>
    <row r="26" spans="1:15" x14ac:dyDescent="0.25">
      <c r="G26" s="12">
        <f t="shared" ref="G26:I26" si="4">G12</f>
        <v>0</v>
      </c>
      <c r="H26" s="1">
        <f t="shared" si="4"/>
        <v>1</v>
      </c>
      <c r="I26" s="13">
        <f t="shared" si="4"/>
        <v>0</v>
      </c>
    </row>
    <row r="27" spans="1:15" ht="15.75" thickBot="1" x14ac:dyDescent="0.3">
      <c r="G27" s="4">
        <f>-G13</f>
        <v>3</v>
      </c>
      <c r="H27" s="1">
        <f>-H13</f>
        <v>5</v>
      </c>
      <c r="I27" s="5">
        <f t="shared" ref="I27" si="5">I13</f>
        <v>1</v>
      </c>
    </row>
    <row r="28" spans="1:15" ht="15.75" thickTop="1" x14ac:dyDescent="0.25"/>
    <row r="29" spans="1:15" ht="15.75" thickBot="1" x14ac:dyDescent="0.3">
      <c r="F29" s="1" t="s">
        <v>20</v>
      </c>
      <c r="G29" s="1" t="s">
        <v>21</v>
      </c>
    </row>
    <row r="30" spans="1:15" ht="15.75" thickTop="1" x14ac:dyDescent="0.25">
      <c r="G30" s="2">
        <f>G11</f>
        <v>1</v>
      </c>
      <c r="H30" s="1">
        <f t="shared" ref="H30:I30" si="6">H11</f>
        <v>0</v>
      </c>
      <c r="I30" s="3">
        <f t="shared" si="6"/>
        <v>0</v>
      </c>
      <c r="J30" s="2">
        <f>G18</f>
        <v>0.86602540378443871</v>
      </c>
      <c r="K30" s="1">
        <f t="shared" ref="K30:L32" si="7">H18</f>
        <v>0.49999999999999994</v>
      </c>
      <c r="L30" s="3">
        <f t="shared" si="7"/>
        <v>0</v>
      </c>
      <c r="M30" s="2">
        <f>G25</f>
        <v>1</v>
      </c>
      <c r="N30" s="1">
        <f t="shared" ref="N30:O32" si="8">H25</f>
        <v>0</v>
      </c>
      <c r="O30" s="3">
        <f t="shared" si="8"/>
        <v>0</v>
      </c>
    </row>
    <row r="31" spans="1:15" x14ac:dyDescent="0.25">
      <c r="G31" s="12">
        <f t="shared" ref="G31:I32" si="9">G12</f>
        <v>0</v>
      </c>
      <c r="H31" s="1">
        <f t="shared" si="9"/>
        <v>1</v>
      </c>
      <c r="I31" s="13">
        <f t="shared" si="9"/>
        <v>0</v>
      </c>
      <c r="J31" s="12">
        <f t="shared" ref="J31:J32" si="10">G19</f>
        <v>-0.49999999999999994</v>
      </c>
      <c r="K31" s="1">
        <f t="shared" si="7"/>
        <v>0.86602540378443871</v>
      </c>
      <c r="L31" s="13">
        <f t="shared" si="7"/>
        <v>0</v>
      </c>
      <c r="M31" s="12">
        <f t="shared" ref="M31:M32" si="11">G26</f>
        <v>0</v>
      </c>
      <c r="N31" s="1">
        <f t="shared" si="8"/>
        <v>1</v>
      </c>
      <c r="O31" s="13">
        <f t="shared" si="8"/>
        <v>0</v>
      </c>
    </row>
    <row r="32" spans="1:15" ht="15.75" thickBot="1" x14ac:dyDescent="0.3">
      <c r="G32" s="4">
        <f t="shared" si="9"/>
        <v>-3</v>
      </c>
      <c r="H32" s="1">
        <f t="shared" si="9"/>
        <v>-5</v>
      </c>
      <c r="I32" s="5">
        <f t="shared" si="9"/>
        <v>1</v>
      </c>
      <c r="J32" s="4">
        <f t="shared" si="10"/>
        <v>0</v>
      </c>
      <c r="K32" s="1">
        <f t="shared" si="7"/>
        <v>0</v>
      </c>
      <c r="L32" s="5">
        <f t="shared" si="7"/>
        <v>1</v>
      </c>
      <c r="M32" s="4">
        <f t="shared" si="11"/>
        <v>3</v>
      </c>
      <c r="N32" s="1">
        <f t="shared" si="8"/>
        <v>5</v>
      </c>
      <c r="O32" s="5">
        <f t="shared" si="8"/>
        <v>1</v>
      </c>
    </row>
    <row r="33" spans="7:15" ht="16.5" thickTop="1" thickBot="1" x14ac:dyDescent="0.3"/>
    <row r="34" spans="7:15" ht="15.75" thickTop="1" x14ac:dyDescent="0.25">
      <c r="I34" s="2" cm="1">
        <f t="array" ref="I34:K36">MMULT(G30:I32,J30:L32)</f>
        <v>0.86602540378443871</v>
      </c>
      <c r="J34" s="1">
        <v>0.49999999999999994</v>
      </c>
      <c r="K34" s="3">
        <v>0</v>
      </c>
      <c r="M34" s="2">
        <f>M30</f>
        <v>1</v>
      </c>
      <c r="N34" s="1">
        <f t="shared" ref="N34:O34" si="12">N30</f>
        <v>0</v>
      </c>
      <c r="O34" s="3">
        <f t="shared" si="12"/>
        <v>0</v>
      </c>
    </row>
    <row r="35" spans="7:15" x14ac:dyDescent="0.25">
      <c r="I35" s="12">
        <v>-0.49999999999999994</v>
      </c>
      <c r="J35" s="1">
        <v>0.86602540378443871</v>
      </c>
      <c r="K35" s="13">
        <v>0</v>
      </c>
      <c r="M35" s="12">
        <f t="shared" ref="M35:O36" si="13">M31</f>
        <v>0</v>
      </c>
      <c r="N35" s="1">
        <f t="shared" si="13"/>
        <v>1</v>
      </c>
      <c r="O35" s="13">
        <f t="shared" si="13"/>
        <v>0</v>
      </c>
    </row>
    <row r="36" spans="7:15" ht="15.75" thickBot="1" x14ac:dyDescent="0.3">
      <c r="I36" s="4">
        <v>-9.8076211353316456E-2</v>
      </c>
      <c r="J36" s="1">
        <v>-5.8301270189221936</v>
      </c>
      <c r="K36" s="5">
        <v>1</v>
      </c>
      <c r="M36" s="4">
        <f t="shared" si="13"/>
        <v>3</v>
      </c>
      <c r="N36" s="1">
        <f t="shared" si="13"/>
        <v>5</v>
      </c>
      <c r="O36" s="5">
        <f t="shared" si="13"/>
        <v>1</v>
      </c>
    </row>
    <row r="37" spans="7:15" ht="15.75" thickTop="1" x14ac:dyDescent="0.25"/>
    <row r="38" spans="7:15" ht="15.75" thickBot="1" x14ac:dyDescent="0.3"/>
    <row r="39" spans="7:15" ht="15.75" thickTop="1" x14ac:dyDescent="0.25">
      <c r="J39" s="2" cm="1">
        <f t="array" ref="J39:L41">MMULT(_xlfn.ANCHORARRAY(I34),M34:O36)</f>
        <v>0.86602540378443871</v>
      </c>
      <c r="K39" s="1">
        <v>0.49999999999999994</v>
      </c>
      <c r="L39" s="3">
        <v>0</v>
      </c>
    </row>
    <row r="40" spans="7:15" x14ac:dyDescent="0.25">
      <c r="G40" s="1" t="s">
        <v>22</v>
      </c>
      <c r="J40" s="12">
        <v>-0.49999999999999994</v>
      </c>
      <c r="K40" s="1">
        <v>0.86602540378443871</v>
      </c>
      <c r="L40" s="13">
        <v>0</v>
      </c>
    </row>
    <row r="41" spans="7:15" ht="15.75" thickBot="1" x14ac:dyDescent="0.3">
      <c r="J41" s="4">
        <v>2.9019237886466835</v>
      </c>
      <c r="K41" s="1">
        <v>-0.83012701892219365</v>
      </c>
      <c r="L41" s="5">
        <v>1</v>
      </c>
    </row>
    <row r="42" spans="7:15" ht="15.75" thickTop="1" x14ac:dyDescent="0.25"/>
  </sheetData>
  <mergeCells count="2">
    <mergeCell ref="A1:B1"/>
    <mergeCell ref="A10: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2D rotation</vt:lpstr>
      <vt:lpstr>Rotation about a point in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Student Harvey Smith (TL_KCOMP_B_Y3)</cp:lastModifiedBy>
  <dcterms:created xsi:type="dcterms:W3CDTF">2026-09-30T10:26:50Z</dcterms:created>
  <dcterms:modified xsi:type="dcterms:W3CDTF">2026-09-30T11:25:55Z</dcterms:modified>
</cp:coreProperties>
</file>