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udentHarveySmith(T\Desktop\CG\Computer Graphics\"/>
    </mc:Choice>
  </mc:AlternateContent>
  <xr:revisionPtr revIDLastSave="0" documentId="8_{30EAB396-942C-47F1-9DC8-364E3EC6A77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ssignment generation" sheetId="1" r:id="rId1"/>
    <sheet name="Map of Assignment" sheetId="2" r:id="rId2"/>
    <sheet name="Sheet2" sheetId="4" r:id="rId3"/>
    <sheet name="Sheet1" sheetId="3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4" i="1" l="1"/>
  <c r="E22" i="1"/>
  <c r="E26" i="1" s="1"/>
  <c r="E12" i="1" s="1"/>
  <c r="D22" i="1"/>
  <c r="D8" i="1" s="1"/>
  <c r="C22" i="1"/>
  <c r="D26" i="1" s="1"/>
  <c r="D12" i="1" s="1"/>
  <c r="C6" i="1"/>
  <c r="C21" i="1"/>
  <c r="E27" i="1" s="1"/>
  <c r="I13" i="1" s="1"/>
  <c r="D21" i="1"/>
  <c r="C26" i="1" s="1"/>
  <c r="C12" i="1" s="1"/>
  <c r="E21" i="1"/>
  <c r="E25" i="1" s="1"/>
  <c r="E11" i="1" s="1"/>
  <c r="C23" i="1"/>
  <c r="C9" i="1" s="1"/>
  <c r="D23" i="1"/>
  <c r="D9" i="1" s="1"/>
  <c r="E23" i="1"/>
  <c r="C27" i="1" s="1"/>
  <c r="G13" i="1" s="1"/>
  <c r="G26" i="1" l="1"/>
  <c r="G23" i="1"/>
  <c r="G22" i="1"/>
  <c r="C8" i="1"/>
  <c r="E8" i="1"/>
  <c r="E9" i="1"/>
  <c r="I7" i="1"/>
  <c r="H7" i="1"/>
  <c r="G21" i="1"/>
  <c r="C7" i="1" s="1"/>
  <c r="G7" i="1"/>
  <c r="D25" i="1"/>
  <c r="D11" i="1" s="1"/>
  <c r="D27" i="1"/>
  <c r="C25" i="1"/>
  <c r="C11" i="1" l="1"/>
  <c r="G25" i="1"/>
  <c r="H13" i="1"/>
  <c r="G27" i="1"/>
  <c r="D7" i="1"/>
  <c r="E7" i="1"/>
  <c r="E13" i="1" l="1"/>
  <c r="C13" i="1"/>
  <c r="D1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878C5D-54B5-4DD7-97D6-40E8649F512C}" keepAlive="1" name="Query - 2D" description="Connection to the '2D' query in the workbook." type="5" refreshedVersion="6" background="1" saveData="1">
    <dbPr connection="Provider=Microsoft.Mashup.OleDb.1;Data Source=$Workbook$;Location=2D;Extended Properties=&quot;&quot;" command="SELECT * FROM [2D]"/>
  </connection>
  <connection id="2" xr16:uid="{D7A453F8-4EF0-446C-B78D-4DA6CBD0F45A}" keepAlive="1" name="Query - AfterEverything" description="Connection to the 'AfterEverything' query in the workbook." type="5" refreshedVersion="6" background="1" saveData="1">
    <dbPr connection="Provider=Microsoft.Mashup.OleDb.1;Data Source=$Workbook$;Location=AfterEverything;Extended Properties=&quot;&quot;" command="SELECT * FROM [AfterEverything]"/>
  </connection>
  <connection id="3" xr16:uid="{E96AB22B-0416-48FB-ABEA-D5260A4CA16F}" keepAlive="1" name="Query - easytoremember" description="Connection to the 'easytoremember' query in the workbook." type="5" refreshedVersion="6" background="1">
    <dbPr connection="Provider=Microsoft.Mashup.OleDb.1;Data Source=$Workbook$;Location=easytoremember;Extended Properties=&quot;&quot;" command="SELECT * FROM [easytoremember]"/>
  </connection>
  <connection id="4" xr16:uid="{D39588CB-5320-47C7-B64E-518281BDD46A}" keepAlive="1" name="Query - easytoremember (2)" description="Connection to the 'easytoremember (2)' query in the workbook." type="5" refreshedVersion="6" background="1" saveData="1">
    <dbPr connection="Provider=Microsoft.Mashup.OleDb.1;Data Source=$Workbook$;Location=easytoremember (2);Extended Properties=&quot;&quot;" command="SELECT * FROM [easytoremember (2)]"/>
  </connection>
  <connection id="5" xr16:uid="{FFED4C16-E47E-4E5A-8EDC-50D5AB7E396A}" keepAlive="1" name="Query - easytoremember (3)" description="Connection to the 'easytoremember (3)' query in the workbook." type="5" refreshedVersion="6" background="1" saveData="1">
    <dbPr connection="Provider=Microsoft.Mashup.OleDb.1;Data Source=$Workbook$;Location=easytoremember (3);Extended Properties=&quot;&quot;" command="SELECT * FROM [easytoremember (3)]"/>
  </connection>
  <connection id="6" xr16:uid="{BD9CF7EA-5551-45DD-80AE-C86276B0C6C0}" keepAlive="1" name="Query - easytoremember (4)" description="Connection to the 'easytoremember (4)' query in the workbook." type="5" refreshedVersion="6" background="1" saveData="1">
    <dbPr connection="Provider=Microsoft.Mashup.OleDb.1;Data Source=$Workbook$;Location=easytoremember (4);Extended Properties=&quot;&quot;" command="SELECT * FROM [easytoremember (4)]"/>
  </connection>
  <connection id="7" xr16:uid="{724ACE9B-3BB9-4335-8AA8-955F8F7B34F9}" keepAlive="1" name="Query - projection" description="Connection to the 'projection' query in the workbook." type="5" refreshedVersion="6" background="1" saveData="1">
    <dbPr connection="Provider=Microsoft.Mashup.OleDb.1;Data Source=$Workbook$;Location=projection;Extended Properties=&quot;&quot;" command="SELECT * FROM [projection]"/>
  </connection>
  <connection id="8" xr16:uid="{69264CB2-5ECD-45AF-B152-BC83B379B00B}" keepAlive="1" name="Query - SingleMatrix" description="Connection to the 'SingleMatrix' query in the workbook." type="5" refreshedVersion="6" background="1" saveData="1">
    <dbPr connection="Provider=Microsoft.Mashup.OleDb.1;Data Source=$Workbook$;Location=SingleMatrix;Extended Properties=&quot;&quot;" command="SELECT * FROM [SingleMatrix]"/>
  </connection>
  <connection id="9" xr16:uid="{F712766C-F456-4BC7-B2D2-8E9BD8E03416}" keepAlive="1" name="Query - Viewing" description="Connection to the 'Viewing' query in the workbook." type="5" refreshedVersion="6" background="1" saveData="1">
    <dbPr connection="Provider=Microsoft.Mashup.OleDb.1;Data Source=$Workbook$;Location=Viewing;Extended Properties=&quot;&quot;" command="SELECT * FROM [Viewing]"/>
  </connection>
</connections>
</file>

<file path=xl/sharedStrings.xml><?xml version="1.0" encoding="utf-8"?>
<sst xmlns="http://schemas.openxmlformats.org/spreadsheetml/2006/main" count="44" uniqueCount="40">
  <si>
    <t>z = -1</t>
  </si>
  <si>
    <t>Image after transformations</t>
  </si>
  <si>
    <t>translation</t>
  </si>
  <si>
    <t>Translation Matrix</t>
  </si>
  <si>
    <t>Scale Matrix</t>
  </si>
  <si>
    <t>rotation angle (degrees)</t>
  </si>
  <si>
    <t>Camera position</t>
  </si>
  <si>
    <t>Image after translation</t>
  </si>
  <si>
    <t xml:space="preserve">2nd Transformation Scale </t>
  </si>
  <si>
    <t>Camera look at</t>
  </si>
  <si>
    <t>Viewing Matrix</t>
  </si>
  <si>
    <t>Image after Scale</t>
  </si>
  <si>
    <t>Final Image</t>
  </si>
  <si>
    <t>Rotation Matrix</t>
  </si>
  <si>
    <t xml:space="preserve">scale </t>
  </si>
  <si>
    <t>Projection matrix</t>
  </si>
  <si>
    <t>Single Matrix of transformations</t>
  </si>
  <si>
    <t>1st Transformation a rotation by</t>
  </si>
  <si>
    <t>Image after Viewing Matrix</t>
  </si>
  <si>
    <t>Graphics Assignment No 1.</t>
  </si>
  <si>
    <t>Final Image on graph paper, or excell chart</t>
  </si>
  <si>
    <t>Single Matrix for everything</t>
  </si>
  <si>
    <t>t-number</t>
  </si>
  <si>
    <t>about the axis</t>
  </si>
  <si>
    <t>rotation axis</t>
  </si>
  <si>
    <t>Name</t>
  </si>
  <si>
    <t>3rd Translation</t>
  </si>
  <si>
    <t>Projection</t>
  </si>
  <si>
    <t>Camera up</t>
  </si>
  <si>
    <t>Camera setup</t>
  </si>
  <si>
    <t>Image after Rotation</t>
  </si>
  <si>
    <t>Should be equal (ish)   :-)</t>
  </si>
  <si>
    <t>=</t>
  </si>
  <si>
    <t>Projection by hand i.e. division</t>
  </si>
  <si>
    <t>Projection onto plane</t>
  </si>
  <si>
    <t>Vertices of your letter</t>
  </si>
  <si>
    <t>. To be e-mailed to robert.sheehy@mtu.ie before midnight.</t>
  </si>
  <si>
    <t xml:space="preserve">= </t>
  </si>
  <si>
    <t>.normalised</t>
  </si>
  <si>
    <t>.normalsed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</si>
</sst>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0"/>
      <color indexed="8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</borders>
  <cellStyleXfs count="4">
    <xf numFmtId="0" fontId="0" fillId="0" borderId="0">
      <alignment vertical="center"/>
    </xf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51">
    <xf numFmtId="0" fontId="0" fillId="0" borderId="0" xfId="0">
      <alignment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wrapText="1"/>
    </xf>
    <xf numFmtId="0" fontId="1" fillId="0" borderId="9" xfId="0" applyFont="1" applyBorder="1" applyAlignment="1">
      <alignment horizontal="center" vertical="center"/>
    </xf>
    <xf numFmtId="0" fontId="0" fillId="0" borderId="10" xfId="0" applyBorder="1" applyAlignment="1">
      <alignment wrapText="1"/>
    </xf>
    <xf numFmtId="0" fontId="1" fillId="0" borderId="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3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11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0" xfId="1" applyNumberFormat="1" applyAlignment="1">
      <alignment horizontal="center"/>
    </xf>
    <xf numFmtId="0" fontId="2" fillId="2" borderId="14" xfId="1" applyNumberFormat="1" applyBorder="1" applyAlignment="1">
      <alignment horizontal="center"/>
    </xf>
    <xf numFmtId="0" fontId="2" fillId="2" borderId="15" xfId="1" applyNumberFormat="1" applyBorder="1" applyAlignment="1">
      <alignment horizontal="center"/>
    </xf>
    <xf numFmtId="0" fontId="0" fillId="0" borderId="0" xfId="0" quotePrefix="1" applyAlignment="1">
      <alignment horizontal="center" vertical="center"/>
    </xf>
    <xf numFmtId="0" fontId="4" fillId="4" borderId="0" xfId="3" applyNumberFormat="1" applyAlignment="1">
      <alignment horizontal="center"/>
    </xf>
    <xf numFmtId="0" fontId="3" fillId="3" borderId="0" xfId="2" applyNumberFormat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2" borderId="0" xfId="1" applyNumberFormat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149679</xdr:colOff>
      <xdr:row>2</xdr:row>
      <xdr:rowOff>258537</xdr:rowOff>
    </xdr:from>
    <xdr:to>
      <xdr:col>4</xdr:col>
      <xdr:colOff>1095069</xdr:colOff>
      <xdr:row>2</xdr:row>
      <xdr:rowOff>4789715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84D6819-89A5-5141-C386-85493D99C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6643" y="585108"/>
          <a:ext cx="3449105" cy="4531178"/>
        </a:xfrm>
        <a:prstGeom prst="rect">
          <a:avLst/>
        </a:prstGeom>
      </xdr:spPr>
    </xdr:pic>
    <xdr:clientData/>
  </xdr:twoCellAnchor>
  <xdr:twoCellAnchor editAs="oneCell">
    <xdr:from>
      <xdr:col>3</xdr:col>
      <xdr:colOff>394607</xdr:colOff>
      <xdr:row>5</xdr:row>
      <xdr:rowOff>149678</xdr:rowOff>
    </xdr:from>
    <xdr:to>
      <xdr:col>4</xdr:col>
      <xdr:colOff>653528</xdr:colOff>
      <xdr:row>5</xdr:row>
      <xdr:rowOff>1588154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35F9592-0999-3B78-6B47-F41570482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31571" y="6000749"/>
          <a:ext cx="2762636" cy="1438476"/>
        </a:xfrm>
        <a:prstGeom prst="rect">
          <a:avLst/>
        </a:prstGeom>
      </xdr:spPr>
    </xdr:pic>
    <xdr:clientData/>
  </xdr:twoCellAnchor>
  <xdr:twoCellAnchor editAs="oneCell">
    <xdr:from>
      <xdr:col>3</xdr:col>
      <xdr:colOff>817637</xdr:colOff>
      <xdr:row>8</xdr:row>
      <xdr:rowOff>68036</xdr:rowOff>
    </xdr:from>
    <xdr:to>
      <xdr:col>4</xdr:col>
      <xdr:colOff>372628</xdr:colOff>
      <xdr:row>8</xdr:row>
      <xdr:rowOff>5048250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B8B4C0-320F-99A6-9214-3E04C7E18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54601" y="8096250"/>
          <a:ext cx="2058706" cy="4980214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857250</xdr:colOff>
      <xdr:row>11</xdr:row>
      <xdr:rowOff>95250</xdr:rowOff>
    </xdr:from>
    <xdr:to>
      <xdr:col>4</xdr:col>
      <xdr:colOff>149678</xdr:colOff>
      <xdr:row>11</xdr:row>
      <xdr:rowOff>1119051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B96B560-A173-4266-8971-2B11B46CD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94214" y="13647964"/>
          <a:ext cx="1796143" cy="1023801"/>
        </a:xfrm>
        <a:prstGeom prst="rect">
          <a:avLst/>
        </a:prstGeom>
      </xdr:spPr>
    </xdr:pic>
    <xdr:clientData/>
  </xdr:twoCellAnchor>
  <xdr:twoCellAnchor editAs="oneCell">
    <xdr:from>
      <xdr:col>3</xdr:col>
      <xdr:colOff>851928</xdr:colOff>
      <xdr:row>14</xdr:row>
      <xdr:rowOff>244929</xdr:rowOff>
    </xdr:from>
    <xdr:to>
      <xdr:col>4</xdr:col>
      <xdr:colOff>317630</xdr:colOff>
      <xdr:row>14</xdr:row>
      <xdr:rowOff>4838542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15D0B22-4317-FBBC-309A-0DE315A38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88892" y="15308036"/>
          <a:ext cx="1969417" cy="4593613"/>
        </a:xfrm>
        <a:prstGeom prst="rect">
          <a:avLst/>
        </a:prstGeom>
      </xdr:spPr>
    </xdr:pic>
    <xdr:clientData/>
  </xdr:twoCellAnchor>
  <xdr:twoCellAnchor editAs="oneCell">
    <xdr:from>
      <xdr:col>3</xdr:col>
      <xdr:colOff>734786</xdr:colOff>
      <xdr:row>17</xdr:row>
      <xdr:rowOff>68036</xdr:rowOff>
    </xdr:from>
    <xdr:to>
      <xdr:col>4</xdr:col>
      <xdr:colOff>285750</xdr:colOff>
      <xdr:row>17</xdr:row>
      <xdr:rowOff>1317226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BA5C403-FB1C-D9A5-5D84-4A8775A20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71750" y="20655643"/>
          <a:ext cx="2054679" cy="1249190"/>
        </a:xfrm>
        <a:prstGeom prst="rect">
          <a:avLst/>
        </a:prstGeom>
      </xdr:spPr>
    </xdr:pic>
    <xdr:clientData/>
  </xdr:twoCellAnchor>
  <xdr:twoCellAnchor editAs="oneCell">
    <xdr:from>
      <xdr:col>3</xdr:col>
      <xdr:colOff>975329</xdr:colOff>
      <xdr:row>20</xdr:row>
      <xdr:rowOff>95250</xdr:rowOff>
    </xdr:from>
    <xdr:to>
      <xdr:col>4</xdr:col>
      <xdr:colOff>136071</xdr:colOff>
      <xdr:row>20</xdr:row>
      <xdr:rowOff>5122132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2381632-C1DC-6A02-6CAD-8D0C4A34D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12293" y="22370143"/>
          <a:ext cx="1664457" cy="5026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zoomScale="130" zoomScaleNormal="130" workbookViewId="0">
      <selection activeCell="C4" sqref="C4"/>
    </sheetView>
  </sheetViews>
  <sheetFormatPr defaultColWidth="9.140625" defaultRowHeight="12.75" customHeight="1" x14ac:dyDescent="0.2"/>
  <cols>
    <col min="1" max="1" width="46.7109375" customWidth="1"/>
    <col min="2" max="2" width="22.5703125" customWidth="1"/>
    <col min="3" max="3" width="10.85546875" style="25" customWidth="1"/>
    <col min="4" max="6" width="9.140625" style="25" customWidth="1"/>
    <col min="7" max="9" width="9.140625" style="25"/>
    <col min="10" max="10" width="16.42578125" style="35" customWidth="1"/>
    <col min="11" max="11" width="57" style="25" customWidth="1"/>
  </cols>
  <sheetData>
    <row r="1" spans="1:10" ht="12.75" customHeight="1" x14ac:dyDescent="0.2">
      <c r="A1" s="38" t="s">
        <v>19</v>
      </c>
      <c r="B1" s="38"/>
      <c r="C1" s="38"/>
      <c r="D1" s="38"/>
      <c r="E1" s="38"/>
      <c r="F1" s="38"/>
    </row>
    <row r="2" spans="1:10" ht="12.75" customHeight="1" x14ac:dyDescent="0.2">
      <c r="A2" s="39" t="s">
        <v>36</v>
      </c>
      <c r="B2" s="39"/>
      <c r="C2" s="39"/>
      <c r="D2" s="39"/>
      <c r="E2" s="39"/>
      <c r="F2" s="39"/>
    </row>
    <row r="3" spans="1:10" ht="12.75" customHeight="1" x14ac:dyDescent="0.2">
      <c r="A3" s="1" t="s">
        <v>25</v>
      </c>
    </row>
    <row r="4" spans="1:10" ht="12.75" customHeight="1" x14ac:dyDescent="0.2">
      <c r="B4" s="1" t="s">
        <v>22</v>
      </c>
      <c r="C4" s="26">
        <v>264389</v>
      </c>
    </row>
    <row r="6" spans="1:10" ht="12.75" customHeight="1" thickBot="1" x14ac:dyDescent="0.3">
      <c r="A6" s="1" t="s">
        <v>17</v>
      </c>
      <c r="B6" s="1" t="s">
        <v>5</v>
      </c>
      <c r="C6" s="27">
        <f>MOD(C4,100)-50</f>
        <v>39</v>
      </c>
    </row>
    <row r="7" spans="1:10" ht="12.75" customHeight="1" thickTop="1" thickBot="1" x14ac:dyDescent="0.3">
      <c r="A7" s="1" t="s">
        <v>23</v>
      </c>
      <c r="B7" s="1" t="s">
        <v>24</v>
      </c>
      <c r="C7" s="28">
        <f>C21/$G$21</f>
        <v>0.99105127418431826</v>
      </c>
      <c r="D7" s="27">
        <f t="shared" ref="D7:E7" si="0">D21/$G$21</f>
        <v>-9.4385835636601745E-2</v>
      </c>
      <c r="E7" s="29">
        <f t="shared" si="0"/>
        <v>-9.4385835636601745E-2</v>
      </c>
      <c r="F7" s="30" t="s">
        <v>37</v>
      </c>
      <c r="G7" s="33">
        <f>C21</f>
        <v>21</v>
      </c>
      <c r="H7" s="25">
        <f t="shared" ref="H7:I7" si="1">D21</f>
        <v>-2</v>
      </c>
      <c r="I7" s="34">
        <f t="shared" si="1"/>
        <v>-2</v>
      </c>
      <c r="J7" s="35" t="s">
        <v>38</v>
      </c>
    </row>
    <row r="8" spans="1:10" ht="12.75" customHeight="1" thickTop="1" thickBot="1" x14ac:dyDescent="0.3">
      <c r="A8" s="1" t="s">
        <v>8</v>
      </c>
      <c r="B8" s="1" t="s">
        <v>14</v>
      </c>
      <c r="C8" s="28">
        <f>C22</f>
        <v>3</v>
      </c>
      <c r="D8" s="27">
        <f t="shared" ref="D8:E8" si="2">D22</f>
        <v>5</v>
      </c>
      <c r="E8" s="29">
        <f t="shared" si="2"/>
        <v>4</v>
      </c>
    </row>
    <row r="9" spans="1:10" ht="12.75" customHeight="1" thickTop="1" thickBot="1" x14ac:dyDescent="0.3">
      <c r="A9" s="1" t="s">
        <v>26</v>
      </c>
      <c r="B9" s="1" t="s">
        <v>2</v>
      </c>
      <c r="C9" s="28">
        <f>C23</f>
        <v>4</v>
      </c>
      <c r="D9" s="27">
        <f t="shared" ref="D9:E9" si="3">D23</f>
        <v>3</v>
      </c>
      <c r="E9" s="29">
        <f t="shared" si="3"/>
        <v>-1</v>
      </c>
    </row>
    <row r="10" spans="1:10" ht="12.75" customHeight="1" thickTop="1" thickBot="1" x14ac:dyDescent="0.3">
      <c r="C10" s="27"/>
    </row>
    <row r="11" spans="1:10" ht="12.75" customHeight="1" thickTop="1" thickBot="1" x14ac:dyDescent="0.3">
      <c r="A11" s="2" t="s">
        <v>29</v>
      </c>
      <c r="B11" s="1" t="s">
        <v>6</v>
      </c>
      <c r="C11" s="28">
        <f>C25</f>
        <v>23</v>
      </c>
      <c r="D11" s="27">
        <f t="shared" ref="D11:E11" si="4">D25</f>
        <v>1</v>
      </c>
      <c r="E11" s="29">
        <f t="shared" si="4"/>
        <v>48</v>
      </c>
    </row>
    <row r="12" spans="1:10" ht="12.75" customHeight="1" thickTop="1" thickBot="1" x14ac:dyDescent="0.3">
      <c r="A12" s="2"/>
      <c r="B12" s="1" t="s">
        <v>9</v>
      </c>
      <c r="C12" s="28">
        <f>C26</f>
        <v>-2</v>
      </c>
      <c r="D12" s="36">
        <f t="shared" ref="D12:E12" si="5">D26</f>
        <v>3</v>
      </c>
      <c r="E12" s="29">
        <f t="shared" si="5"/>
        <v>4</v>
      </c>
      <c r="F12" s="30"/>
      <c r="G12" s="37"/>
      <c r="I12" s="37"/>
    </row>
    <row r="13" spans="1:10" ht="12.75" customHeight="1" thickTop="1" thickBot="1" x14ac:dyDescent="0.3">
      <c r="A13" s="1"/>
      <c r="B13" s="1" t="s">
        <v>28</v>
      </c>
      <c r="C13" s="28">
        <f>C27/$G$27</f>
        <v>-4.7351372381037843E-2</v>
      </c>
      <c r="D13" s="27">
        <f t="shared" ref="D13:E13" si="6">D27/$G$27</f>
        <v>-9.4702744762075686E-2</v>
      </c>
      <c r="E13" s="29">
        <f t="shared" si="6"/>
        <v>0.99437882000179467</v>
      </c>
      <c r="F13" s="30" t="s">
        <v>32</v>
      </c>
      <c r="G13" s="33">
        <f>C27</f>
        <v>-1</v>
      </c>
      <c r="H13" s="25">
        <f t="shared" ref="H13:I13" si="7">D27</f>
        <v>-2</v>
      </c>
      <c r="I13" s="34">
        <f t="shared" si="7"/>
        <v>21</v>
      </c>
      <c r="J13" s="35" t="s">
        <v>39</v>
      </c>
    </row>
    <row r="14" spans="1:10" ht="12.75" hidden="1" customHeight="1" thickTop="1" x14ac:dyDescent="0.25">
      <c r="A14" s="1"/>
      <c r="B14" s="1"/>
      <c r="C14" s="27"/>
    </row>
    <row r="15" spans="1:10" ht="12.75" hidden="1" customHeight="1" x14ac:dyDescent="0.25">
      <c r="A15" s="1"/>
      <c r="B15" s="1"/>
      <c r="C15" s="27"/>
    </row>
    <row r="16" spans="1:10" ht="12.75" hidden="1" customHeight="1" x14ac:dyDescent="0.25">
      <c r="A16" s="1"/>
      <c r="B16" s="1"/>
      <c r="C16" s="27"/>
    </row>
    <row r="17" spans="1:7" ht="12.75" hidden="1" customHeight="1" x14ac:dyDescent="0.25">
      <c r="A17" s="1"/>
      <c r="B17" s="1"/>
      <c r="C17" s="27"/>
    </row>
    <row r="18" spans="1:7" ht="12.75" hidden="1" customHeight="1" x14ac:dyDescent="0.25">
      <c r="A18" s="1"/>
      <c r="B18" s="1"/>
      <c r="C18" s="27"/>
    </row>
    <row r="19" spans="1:7" ht="12.75" hidden="1" customHeight="1" x14ac:dyDescent="0.25">
      <c r="A19" s="1"/>
      <c r="B19" s="1"/>
      <c r="C19" s="27"/>
    </row>
    <row r="20" spans="1:7" ht="12.75" hidden="1" customHeight="1" x14ac:dyDescent="0.25">
      <c r="A20" s="1"/>
      <c r="B20" s="1"/>
      <c r="C20" s="27"/>
    </row>
    <row r="21" spans="1:7" ht="12.75" hidden="1" customHeight="1" x14ac:dyDescent="0.25">
      <c r="C21" s="31">
        <f>INT((C4/10000))-5</f>
        <v>21</v>
      </c>
      <c r="D21" s="31">
        <f>MOD(INT((C4/100)),10)-5</f>
        <v>-2</v>
      </c>
      <c r="E21" s="31">
        <f>MOD(INT((C4/100)),10)-5</f>
        <v>-2</v>
      </c>
      <c r="G21" s="25">
        <f>SQRT(C21*C21+D21*D21+E21*E21)</f>
        <v>21.189620100417091</v>
      </c>
    </row>
    <row r="22" spans="1:7" ht="12.75" hidden="1" customHeight="1" x14ac:dyDescent="0.25">
      <c r="C22" s="32">
        <f>MOD(INT((C4/10000)),6) + 1</f>
        <v>3</v>
      </c>
      <c r="D22" s="32">
        <f>MOD(MOD(INT((C4/1000)),10),6) +1</f>
        <v>5</v>
      </c>
      <c r="E22" s="32">
        <f>MOD(MOD(INT((C4/100)),10),6) +1</f>
        <v>4</v>
      </c>
      <c r="G22" s="25">
        <f t="shared" ref="G22:G27" si="8">SQRT(C22*C22+D22*D22+E22*E22)</f>
        <v>7.0710678118654755</v>
      </c>
    </row>
    <row r="23" spans="1:7" ht="12.75" hidden="1" customHeight="1" x14ac:dyDescent="0.25">
      <c r="C23" s="27">
        <f>MOD(C4,10)-5</f>
        <v>4</v>
      </c>
      <c r="D23" s="27">
        <f>MOD(INT((C4/10)),10)-5</f>
        <v>3</v>
      </c>
      <c r="E23" s="27">
        <f>MOD(INT((C4/100)),10)-4</f>
        <v>-1</v>
      </c>
      <c r="G23" s="25">
        <f t="shared" si="8"/>
        <v>5.0990195135927845</v>
      </c>
    </row>
    <row r="24" spans="1:7" ht="12.75" hidden="1" customHeight="1" x14ac:dyDescent="0.2">
      <c r="G24" s="25">
        <f t="shared" si="8"/>
        <v>0</v>
      </c>
    </row>
    <row r="25" spans="1:7" ht="12.75" hidden="1" customHeight="1" x14ac:dyDescent="0.25">
      <c r="C25" s="27">
        <f>2+C21</f>
        <v>23</v>
      </c>
      <c r="D25" s="27">
        <f>3+D21</f>
        <v>1</v>
      </c>
      <c r="E25" s="27">
        <f>E21+50</f>
        <v>48</v>
      </c>
      <c r="G25" s="25">
        <f t="shared" si="8"/>
        <v>53.235326616824658</v>
      </c>
    </row>
    <row r="26" spans="1:7" ht="12.75" hidden="1" customHeight="1" x14ac:dyDescent="0.25">
      <c r="C26" s="31">
        <f>D21</f>
        <v>-2</v>
      </c>
      <c r="D26" s="31">
        <f>C22</f>
        <v>3</v>
      </c>
      <c r="E26" s="31">
        <f>E22</f>
        <v>4</v>
      </c>
      <c r="G26" s="25">
        <f t="shared" si="8"/>
        <v>5.3851648071345037</v>
      </c>
    </row>
    <row r="27" spans="1:7" ht="12.75" hidden="1" customHeight="1" x14ac:dyDescent="0.25">
      <c r="A27" s="2"/>
      <c r="C27" s="31">
        <f>E23</f>
        <v>-1</v>
      </c>
      <c r="D27" s="31">
        <f>D21</f>
        <v>-2</v>
      </c>
      <c r="E27" s="31">
        <f>C21</f>
        <v>21</v>
      </c>
      <c r="G27" s="25">
        <f t="shared" si="8"/>
        <v>21.118712081942874</v>
      </c>
    </row>
    <row r="28" spans="1:7" ht="12.75" hidden="1" customHeight="1" x14ac:dyDescent="0.2"/>
    <row r="29" spans="1:7" ht="12.75" customHeight="1" thickTop="1" x14ac:dyDescent="0.2">
      <c r="A29" s="1" t="s">
        <v>34</v>
      </c>
      <c r="B29" s="1" t="s">
        <v>27</v>
      </c>
      <c r="C29" s="26" t="s">
        <v>0</v>
      </c>
    </row>
  </sheetData>
  <mergeCells count="2">
    <mergeCell ref="A1:F1"/>
    <mergeCell ref="A2:F2"/>
  </mergeCells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1"/>
  <sheetViews>
    <sheetView tabSelected="1" topLeftCell="A8" zoomScale="40" zoomScaleNormal="40" workbookViewId="0">
      <selection activeCell="O21" sqref="O21"/>
    </sheetView>
  </sheetViews>
  <sheetFormatPr defaultColWidth="9.140625" defaultRowHeight="12.75" customHeight="1" x14ac:dyDescent="0.2"/>
  <cols>
    <col min="1" max="3" width="9.140625" customWidth="1"/>
    <col min="4" max="4" width="37.5703125" customWidth="1"/>
    <col min="5" max="5" width="19" customWidth="1"/>
    <col min="6" max="6" width="21" customWidth="1"/>
    <col min="7" max="7" width="17.7109375" customWidth="1"/>
    <col min="8" max="8" width="27.5703125" customWidth="1"/>
    <col min="9" max="9" width="13.42578125" customWidth="1"/>
    <col min="10" max="10" width="9.140625" customWidth="1"/>
    <col min="11" max="11" width="3.7109375" customWidth="1"/>
    <col min="12" max="12" width="43.140625" customWidth="1"/>
    <col min="13" max="13" width="14.42578125" customWidth="1"/>
  </cols>
  <sheetData>
    <row r="1" spans="3:13" ht="12.75" customHeight="1" x14ac:dyDescent="0.2">
      <c r="D1" s="3"/>
      <c r="E1" s="3"/>
    </row>
    <row r="2" spans="3:13" ht="12.75" customHeight="1" x14ac:dyDescent="0.2">
      <c r="C2" s="4"/>
      <c r="D2" s="42" t="s">
        <v>35</v>
      </c>
      <c r="E2" s="43"/>
      <c r="F2" s="7"/>
      <c r="G2" s="3"/>
      <c r="H2" s="3"/>
      <c r="I2" s="3"/>
      <c r="J2" s="3"/>
      <c r="K2" s="3"/>
      <c r="L2" s="3"/>
    </row>
    <row r="3" spans="3:13" ht="408.75" customHeight="1" x14ac:dyDescent="0.2">
      <c r="C3" s="4"/>
      <c r="D3" s="40"/>
      <c r="E3" s="41"/>
      <c r="F3" s="5"/>
      <c r="G3" s="10"/>
      <c r="H3" s="6"/>
      <c r="I3" s="5"/>
      <c r="J3" s="10"/>
      <c r="K3" s="10"/>
      <c r="L3" s="6"/>
      <c r="M3" s="11"/>
    </row>
    <row r="4" spans="3:13" ht="12.75" customHeight="1" x14ac:dyDescent="0.2">
      <c r="D4" s="12"/>
      <c r="E4" s="13"/>
      <c r="H4" s="14"/>
      <c r="I4" s="11"/>
      <c r="L4" s="14"/>
      <c r="M4" s="11"/>
    </row>
    <row r="5" spans="3:13" ht="12.75" customHeight="1" x14ac:dyDescent="0.2">
      <c r="C5" s="4"/>
      <c r="D5" s="42" t="s">
        <v>13</v>
      </c>
      <c r="E5" s="43"/>
      <c r="F5" s="7"/>
      <c r="H5" s="14"/>
      <c r="I5" s="11"/>
      <c r="L5" s="14"/>
      <c r="M5" s="11"/>
    </row>
    <row r="6" spans="3:13" ht="138.75" customHeight="1" x14ac:dyDescent="0.2">
      <c r="C6" s="4"/>
      <c r="D6" s="40"/>
      <c r="E6" s="41"/>
      <c r="F6" s="15"/>
      <c r="G6" s="11"/>
      <c r="H6" s="14"/>
      <c r="I6" s="11"/>
      <c r="L6" s="14"/>
      <c r="M6" s="11"/>
    </row>
    <row r="7" spans="3:13" ht="12.75" customHeight="1" x14ac:dyDescent="0.2">
      <c r="D7" s="12"/>
      <c r="E7" s="13"/>
      <c r="F7" s="14"/>
      <c r="G7" s="11"/>
      <c r="H7" s="14"/>
      <c r="I7" s="11"/>
      <c r="L7" s="14"/>
      <c r="M7" s="11"/>
    </row>
    <row r="8" spans="3:13" ht="18.75" customHeight="1" x14ac:dyDescent="0.2">
      <c r="C8" s="4"/>
      <c r="D8" s="42" t="s">
        <v>30</v>
      </c>
      <c r="E8" s="43"/>
      <c r="F8" s="16"/>
      <c r="G8" s="11"/>
      <c r="H8" s="14"/>
      <c r="I8" s="11"/>
      <c r="L8" s="14"/>
      <c r="M8" s="11"/>
    </row>
    <row r="9" spans="3:13" ht="409.5" customHeight="1" x14ac:dyDescent="0.2">
      <c r="C9" s="4"/>
      <c r="D9" s="40"/>
      <c r="E9" s="41"/>
      <c r="F9" s="16"/>
      <c r="G9" s="11"/>
      <c r="H9" s="14"/>
      <c r="I9" s="11"/>
      <c r="L9" s="14"/>
      <c r="M9" s="11"/>
    </row>
    <row r="10" spans="3:13" ht="12.75" customHeight="1" x14ac:dyDescent="0.2">
      <c r="D10" s="12"/>
      <c r="E10" s="13"/>
      <c r="F10" s="14"/>
      <c r="G10" s="11"/>
      <c r="H10" s="9"/>
      <c r="I10" s="7"/>
      <c r="L10" s="14"/>
      <c r="M10" s="11"/>
    </row>
    <row r="11" spans="3:13" ht="12.75" customHeight="1" x14ac:dyDescent="0.2">
      <c r="C11" s="4"/>
      <c r="D11" s="42" t="s">
        <v>4</v>
      </c>
      <c r="E11" s="43"/>
      <c r="F11" s="17"/>
      <c r="G11" s="18"/>
      <c r="H11" s="44" t="s">
        <v>16</v>
      </c>
      <c r="I11" s="45"/>
      <c r="J11" s="7"/>
      <c r="L11" s="14"/>
      <c r="M11" s="11"/>
    </row>
    <row r="12" spans="3:13" ht="93" customHeight="1" x14ac:dyDescent="0.2">
      <c r="C12" s="4"/>
      <c r="D12" s="40"/>
      <c r="E12" s="41"/>
      <c r="F12" s="15"/>
      <c r="G12" s="15"/>
      <c r="H12" s="40"/>
      <c r="I12" s="41"/>
      <c r="J12" s="15"/>
      <c r="K12" s="11"/>
      <c r="L12" s="14"/>
      <c r="M12" s="11"/>
    </row>
    <row r="13" spans="3:13" ht="12.75" customHeight="1" x14ac:dyDescent="0.2">
      <c r="D13" s="12"/>
      <c r="E13" s="13"/>
      <c r="F13" s="14"/>
      <c r="G13" s="11"/>
      <c r="H13" s="6"/>
      <c r="I13" s="19"/>
      <c r="J13" s="14"/>
      <c r="K13" s="11"/>
      <c r="L13" s="14"/>
      <c r="M13" s="11"/>
    </row>
    <row r="14" spans="3:13" ht="12.75" customHeight="1" x14ac:dyDescent="0.2">
      <c r="C14" s="4"/>
      <c r="D14" s="42" t="s">
        <v>11</v>
      </c>
      <c r="E14" s="43"/>
      <c r="F14" s="16"/>
      <c r="G14" s="11"/>
      <c r="H14" s="14"/>
      <c r="I14" s="11"/>
      <c r="J14" s="14"/>
      <c r="K14" s="11"/>
      <c r="L14" s="14"/>
      <c r="M14" s="11"/>
    </row>
    <row r="15" spans="3:13" ht="409.5" customHeight="1" x14ac:dyDescent="0.2">
      <c r="C15" s="4"/>
      <c r="D15" s="40"/>
      <c r="E15" s="41"/>
      <c r="F15" s="16"/>
      <c r="G15" s="11"/>
      <c r="H15" s="14"/>
      <c r="I15" s="11"/>
      <c r="J15" s="14"/>
      <c r="K15" s="11"/>
      <c r="L15" s="14"/>
      <c r="M15" s="11"/>
    </row>
    <row r="16" spans="3:13" ht="12.75" customHeight="1" x14ac:dyDescent="0.2">
      <c r="D16" s="12"/>
      <c r="E16" s="13"/>
      <c r="F16" s="14"/>
      <c r="G16" s="11"/>
      <c r="H16" s="14"/>
      <c r="I16" s="11"/>
      <c r="J16" s="14"/>
      <c r="K16" s="11"/>
      <c r="L16" s="14"/>
      <c r="M16" s="11"/>
    </row>
    <row r="17" spans="1:13" ht="12.75" customHeight="1" x14ac:dyDescent="0.2">
      <c r="C17" s="4"/>
      <c r="D17" s="42" t="s">
        <v>3</v>
      </c>
      <c r="E17" s="43"/>
      <c r="F17" s="17"/>
      <c r="G17" s="11"/>
      <c r="H17" s="14"/>
      <c r="I17" s="11"/>
      <c r="J17" s="14"/>
      <c r="K17" s="11"/>
      <c r="L17" s="14"/>
      <c r="M17" s="11"/>
    </row>
    <row r="18" spans="1:13" ht="107.25" customHeight="1" x14ac:dyDescent="0.2">
      <c r="C18" s="4"/>
      <c r="D18" s="40"/>
      <c r="E18" s="41"/>
      <c r="F18" s="19"/>
      <c r="H18" s="14"/>
      <c r="I18" s="11"/>
      <c r="J18" s="14"/>
      <c r="K18" s="11"/>
      <c r="L18" s="14"/>
      <c r="M18" s="11"/>
    </row>
    <row r="19" spans="1:13" ht="12.75" customHeight="1" x14ac:dyDescent="0.2">
      <c r="D19" s="12"/>
      <c r="E19" s="13"/>
      <c r="H19" s="9"/>
      <c r="I19" s="7"/>
      <c r="J19" s="14"/>
      <c r="K19" s="11"/>
      <c r="L19" s="14"/>
      <c r="M19" s="11"/>
    </row>
    <row r="20" spans="1:13" ht="12.75" customHeight="1" x14ac:dyDescent="0.2">
      <c r="C20" s="4"/>
      <c r="D20" s="42" t="s">
        <v>7</v>
      </c>
      <c r="E20" s="43"/>
      <c r="F20" s="46" t="s">
        <v>32</v>
      </c>
      <c r="G20" s="47"/>
      <c r="H20" s="44" t="s">
        <v>1</v>
      </c>
      <c r="I20" s="45"/>
      <c r="J20" s="16"/>
      <c r="K20" s="11"/>
      <c r="L20" s="14"/>
      <c r="M20" s="11"/>
    </row>
    <row r="21" spans="1:13" ht="409.5" customHeight="1" x14ac:dyDescent="0.2">
      <c r="C21" s="4"/>
      <c r="D21" s="40"/>
      <c r="E21" s="41"/>
      <c r="F21" s="46"/>
      <c r="G21" s="47"/>
      <c r="H21" s="40"/>
      <c r="I21" s="41"/>
      <c r="J21" s="16"/>
      <c r="K21" s="11"/>
      <c r="L21" s="14"/>
      <c r="M21" s="11"/>
    </row>
    <row r="22" spans="1:13" ht="12.75" customHeight="1" x14ac:dyDescent="0.2">
      <c r="D22" s="12"/>
      <c r="E22" s="13"/>
      <c r="H22" s="20"/>
      <c r="I22" s="20"/>
      <c r="J22" s="14"/>
      <c r="K22" s="11"/>
      <c r="L22" s="9"/>
      <c r="M22" s="7"/>
    </row>
    <row r="23" spans="1:13" ht="12.75" customHeight="1" x14ac:dyDescent="0.2">
      <c r="C23" s="4"/>
      <c r="D23" s="42" t="s">
        <v>10</v>
      </c>
      <c r="E23" s="43"/>
      <c r="F23" s="8"/>
      <c r="G23" s="21"/>
      <c r="H23" s="21"/>
      <c r="I23" s="21"/>
      <c r="J23" s="9"/>
      <c r="K23" s="17"/>
      <c r="L23" s="44" t="s">
        <v>21</v>
      </c>
      <c r="M23" s="45"/>
    </row>
    <row r="24" spans="1:13" ht="113.25" customHeight="1" x14ac:dyDescent="0.2">
      <c r="C24" s="4"/>
      <c r="D24" s="40"/>
      <c r="E24" s="41"/>
      <c r="F24" s="5"/>
      <c r="G24" s="10"/>
      <c r="H24" s="10"/>
      <c r="I24" s="10"/>
      <c r="J24" s="6"/>
      <c r="K24" s="22"/>
      <c r="L24" s="40"/>
      <c r="M24" s="41"/>
    </row>
    <row r="25" spans="1:13" ht="12.75" customHeight="1" x14ac:dyDescent="0.2">
      <c r="D25" s="12"/>
      <c r="E25" s="13"/>
      <c r="J25" s="14"/>
      <c r="K25" s="11"/>
      <c r="L25" s="6"/>
      <c r="M25" s="19"/>
    </row>
    <row r="26" spans="1:13" ht="12.75" customHeight="1" x14ac:dyDescent="0.2">
      <c r="B26" s="3"/>
      <c r="C26" s="23"/>
      <c r="D26" s="44" t="s">
        <v>18</v>
      </c>
      <c r="E26" s="45"/>
      <c r="F26" s="11"/>
      <c r="J26" s="14"/>
      <c r="K26" s="11"/>
      <c r="L26" s="14"/>
      <c r="M26" s="11"/>
    </row>
    <row r="27" spans="1:13" ht="409.5" customHeight="1" x14ac:dyDescent="0.2">
      <c r="A27" s="4"/>
      <c r="B27" s="5"/>
      <c r="C27" s="6"/>
      <c r="D27" s="40"/>
      <c r="E27" s="41"/>
      <c r="F27" s="11"/>
      <c r="J27" s="14"/>
      <c r="K27" s="11"/>
      <c r="L27" s="14"/>
      <c r="M27" s="11"/>
    </row>
    <row r="28" spans="1:13" ht="12.75" customHeight="1" x14ac:dyDescent="0.2">
      <c r="A28" s="23"/>
      <c r="B28" s="8"/>
      <c r="D28" s="12"/>
      <c r="E28" s="13"/>
      <c r="J28" s="14"/>
      <c r="K28" s="11"/>
      <c r="L28" s="14"/>
      <c r="M28" s="11"/>
    </row>
    <row r="29" spans="1:13" x14ac:dyDescent="0.2">
      <c r="A29" s="44" t="s">
        <v>33</v>
      </c>
      <c r="B29" s="45"/>
      <c r="C29" s="24"/>
      <c r="D29" s="42" t="s">
        <v>15</v>
      </c>
      <c r="E29" s="43"/>
      <c r="F29" s="8"/>
      <c r="G29" s="21"/>
      <c r="H29" s="21"/>
      <c r="I29" s="21"/>
      <c r="J29" s="9"/>
      <c r="K29" s="11"/>
      <c r="L29" s="14"/>
      <c r="M29" s="11"/>
    </row>
    <row r="30" spans="1:13" ht="322.5" customHeight="1" x14ac:dyDescent="0.2">
      <c r="A30" s="40"/>
      <c r="B30" s="41"/>
      <c r="C30" s="24"/>
      <c r="D30" s="40"/>
      <c r="E30" s="41"/>
      <c r="F30" s="19"/>
      <c r="G30" s="20"/>
      <c r="H30" s="20"/>
      <c r="I30" s="20"/>
      <c r="J30" s="20"/>
      <c r="L30" s="14"/>
      <c r="M30" s="11"/>
    </row>
    <row r="31" spans="1:13" x14ac:dyDescent="0.2">
      <c r="A31" s="12"/>
      <c r="B31" s="13"/>
      <c r="D31" s="12"/>
      <c r="E31" s="13"/>
      <c r="L31" s="9"/>
      <c r="M31" s="7"/>
    </row>
    <row r="32" spans="1:13" x14ac:dyDescent="0.2">
      <c r="A32" s="42" t="s">
        <v>12</v>
      </c>
      <c r="B32" s="43"/>
      <c r="C32" s="16" t="s">
        <v>32</v>
      </c>
      <c r="D32" s="42" t="s">
        <v>12</v>
      </c>
      <c r="E32" s="43"/>
      <c r="F32" s="46" t="s">
        <v>31</v>
      </c>
      <c r="G32" s="49"/>
      <c r="H32" s="49"/>
      <c r="I32" s="49"/>
      <c r="J32" s="49"/>
      <c r="K32" s="47"/>
      <c r="L32" s="42" t="s">
        <v>12</v>
      </c>
      <c r="M32" s="43"/>
    </row>
    <row r="33" spans="1:13" ht="409.5" customHeight="1" x14ac:dyDescent="0.2">
      <c r="A33" s="50"/>
      <c r="B33" s="48"/>
      <c r="C33" s="16"/>
      <c r="D33" s="40"/>
      <c r="E33" s="41"/>
      <c r="F33" s="46"/>
      <c r="G33" s="49"/>
      <c r="H33" s="49"/>
      <c r="I33" s="49"/>
      <c r="J33" s="49"/>
      <c r="K33" s="47"/>
      <c r="L33" s="40"/>
      <c r="M33" s="48"/>
    </row>
    <row r="34" spans="1:13" x14ac:dyDescent="0.2">
      <c r="A34" s="20"/>
      <c r="B34" s="20"/>
      <c r="D34" s="12"/>
      <c r="E34" s="13"/>
      <c r="L34" s="20"/>
      <c r="M34" s="20"/>
    </row>
    <row r="35" spans="1:13" x14ac:dyDescent="0.2">
      <c r="C35" s="4"/>
      <c r="D35" s="44" t="s">
        <v>20</v>
      </c>
      <c r="E35" s="45"/>
      <c r="F35" s="11"/>
    </row>
    <row r="36" spans="1:13" ht="213.75" customHeight="1" x14ac:dyDescent="0.2">
      <c r="C36" s="4"/>
      <c r="D36" s="40"/>
      <c r="E36" s="41"/>
      <c r="F36" s="11"/>
    </row>
    <row r="38" spans="1:13" ht="15.75" customHeight="1" x14ac:dyDescent="0.2">
      <c r="E38" s="25"/>
      <c r="F38" s="25"/>
      <c r="H38" s="40"/>
      <c r="I38" s="48"/>
    </row>
    <row r="91" ht="0.75" customHeight="1" x14ac:dyDescent="0.2"/>
  </sheetData>
  <mergeCells count="41">
    <mergeCell ref="H38:I38"/>
    <mergeCell ref="D36:E36"/>
    <mergeCell ref="F32:K32"/>
    <mergeCell ref="A29:B29"/>
    <mergeCell ref="D29:E29"/>
    <mergeCell ref="A30:B30"/>
    <mergeCell ref="D30:E30"/>
    <mergeCell ref="A33:B33"/>
    <mergeCell ref="D33:E33"/>
    <mergeCell ref="F33:K33"/>
    <mergeCell ref="A32:B32"/>
    <mergeCell ref="D32:E32"/>
    <mergeCell ref="L23:M23"/>
    <mergeCell ref="D24:E24"/>
    <mergeCell ref="L24:M24"/>
    <mergeCell ref="D26:E26"/>
    <mergeCell ref="D35:E35"/>
    <mergeCell ref="L32:M32"/>
    <mergeCell ref="L33:M33"/>
    <mergeCell ref="H20:I20"/>
    <mergeCell ref="H21:I21"/>
    <mergeCell ref="H11:I11"/>
    <mergeCell ref="H12:I12"/>
    <mergeCell ref="D27:E27"/>
    <mergeCell ref="F20:G20"/>
    <mergeCell ref="D20:E20"/>
    <mergeCell ref="F21:G21"/>
    <mergeCell ref="D21:E21"/>
    <mergeCell ref="D18:E18"/>
    <mergeCell ref="D17:E17"/>
    <mergeCell ref="D15:E15"/>
    <mergeCell ref="D14:E14"/>
    <mergeCell ref="D12:E12"/>
    <mergeCell ref="D11:E11"/>
    <mergeCell ref="D23:E23"/>
    <mergeCell ref="D9:E9"/>
    <mergeCell ref="D2:E2"/>
    <mergeCell ref="D3:E3"/>
    <mergeCell ref="D5:E5"/>
    <mergeCell ref="D6:E6"/>
    <mergeCell ref="D8:E8"/>
  </mergeCells>
  <pageMargins left="0.75" right="0.75" top="1" bottom="1" header="0.5" footer="0.5"/>
  <pageSetup paperSize="9" orientation="portrait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B12A5-2734-4A80-B355-23ECE7ADE458}">
  <dimension ref="A1"/>
  <sheetViews>
    <sheetView workbookViewId="0">
      <selection activeCell="B2" sqref="B2"/>
    </sheetView>
  </sheetViews>
  <sheetFormatPr defaultRowHeight="12.75" x14ac:dyDescent="0.2"/>
  <cols>
    <col min="1" max="4" width="11.2851562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4FA80-9370-4F95-8930-41199F5C753B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B72AD8-C770-478D-BC33-339B656446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Assignment generation</vt:lpstr>
      <vt:lpstr>Map of Assignment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</dc:creator>
  <cp:lastModifiedBy>Student Harvey Smith (TL_KCOMP_B_Y3)</cp:lastModifiedBy>
  <dcterms:created xsi:type="dcterms:W3CDTF">2011-10-19T09:55:01Z</dcterms:created>
  <dcterms:modified xsi:type="dcterms:W3CDTF">2026-10-06T14:45:27Z</dcterms:modified>
</cp:coreProperties>
</file>